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ját meghajtó\Suli\Kémia\Tk\saját jegyzet\kepek\grafikonok\"/>
    </mc:Choice>
  </mc:AlternateContent>
  <xr:revisionPtr revIDLastSave="0" documentId="13_ncr:1_{57D4A23D-E658-471D-8E52-D866A4332426}" xr6:coauthVersionLast="47" xr6:coauthVersionMax="47" xr10:uidLastSave="{00000000-0000-0000-0000-000000000000}"/>
  <bookViews>
    <workbookView xWindow="-108" yWindow="-108" windowWidth="23256" windowHeight="13176" activeTab="1" xr2:uid="{CA622C81-1421-40C9-8A32-8A034355E64A}"/>
  </bookViews>
  <sheets>
    <sheet name="elektronegativitás" sheetId="1" r:id="rId1"/>
    <sheet name="elektronaffinitás" sheetId="2" r:id="rId2"/>
    <sheet name="első ionizációs energ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F2" i="2" s="1"/>
  <c r="G2" i="2"/>
  <c r="H2" i="2"/>
  <c r="I2" i="2"/>
  <c r="F3" i="2"/>
  <c r="G3" i="2"/>
  <c r="H3" i="2"/>
  <c r="I3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F92" i="2"/>
  <c r="G92" i="2"/>
  <c r="H92" i="2"/>
  <c r="I92" i="2"/>
  <c r="F93" i="2"/>
  <c r="G93" i="2"/>
  <c r="H93" i="2"/>
  <c r="I93" i="2"/>
  <c r="F94" i="2"/>
  <c r="G94" i="2"/>
  <c r="H94" i="2"/>
  <c r="I94" i="2"/>
  <c r="F95" i="2"/>
  <c r="G95" i="2"/>
  <c r="H95" i="2"/>
  <c r="I95" i="2"/>
  <c r="F96" i="2"/>
  <c r="G96" i="2"/>
  <c r="H96" i="2"/>
  <c r="I96" i="2"/>
  <c r="F97" i="2"/>
  <c r="G97" i="2"/>
  <c r="H97" i="2"/>
  <c r="I97" i="2"/>
  <c r="F98" i="2"/>
  <c r="G98" i="2"/>
  <c r="H98" i="2"/>
  <c r="I98" i="2"/>
  <c r="F99" i="2"/>
  <c r="G99" i="2"/>
  <c r="H99" i="2"/>
  <c r="I99" i="2"/>
  <c r="F100" i="2"/>
  <c r="G100" i="2"/>
  <c r="H100" i="2"/>
  <c r="I100" i="2"/>
  <c r="F101" i="2"/>
  <c r="G101" i="2"/>
  <c r="H101" i="2"/>
  <c r="I101" i="2"/>
  <c r="F102" i="2"/>
  <c r="G102" i="2"/>
  <c r="H102" i="2"/>
  <c r="I102" i="2"/>
  <c r="F103" i="2"/>
  <c r="G103" i="2"/>
  <c r="H103" i="2"/>
  <c r="I103" i="2"/>
  <c r="F104" i="2"/>
  <c r="G104" i="2"/>
  <c r="H104" i="2"/>
  <c r="I104" i="2"/>
  <c r="F105" i="2"/>
  <c r="G105" i="2"/>
  <c r="H105" i="2"/>
  <c r="I105" i="2"/>
  <c r="F106" i="2"/>
  <c r="G106" i="2"/>
  <c r="H106" i="2"/>
  <c r="I106" i="2"/>
  <c r="F107" i="2"/>
  <c r="G107" i="2"/>
  <c r="H107" i="2"/>
  <c r="I107" i="2"/>
  <c r="F108" i="2"/>
  <c r="G108" i="2"/>
  <c r="H108" i="2"/>
  <c r="I108" i="2"/>
  <c r="F109" i="2"/>
  <c r="G109" i="2"/>
  <c r="H109" i="2"/>
  <c r="I109" i="2"/>
  <c r="F110" i="2"/>
  <c r="G110" i="2"/>
  <c r="H110" i="2"/>
  <c r="I110" i="2"/>
  <c r="F111" i="2"/>
  <c r="G111" i="2"/>
  <c r="H111" i="2"/>
  <c r="I111" i="2"/>
  <c r="F112" i="2"/>
  <c r="G112" i="2"/>
  <c r="H112" i="2"/>
  <c r="I112" i="2"/>
  <c r="F113" i="2"/>
  <c r="G113" i="2"/>
  <c r="H113" i="2"/>
  <c r="I113" i="2"/>
  <c r="F114" i="2"/>
  <c r="G114" i="2"/>
  <c r="H114" i="2"/>
  <c r="I114" i="2"/>
  <c r="F115" i="2"/>
  <c r="G115" i="2"/>
  <c r="H115" i="2"/>
  <c r="I115" i="2"/>
  <c r="F116" i="2"/>
  <c r="G116" i="2"/>
  <c r="H116" i="2"/>
  <c r="I116" i="2"/>
  <c r="F117" i="2"/>
  <c r="G117" i="2"/>
  <c r="H117" i="2"/>
  <c r="I117" i="2"/>
  <c r="F118" i="2"/>
  <c r="G118" i="2"/>
  <c r="H118" i="2"/>
  <c r="I118" i="2"/>
  <c r="F119" i="2"/>
  <c r="G119" i="2"/>
  <c r="H119" i="2"/>
  <c r="I119" i="2"/>
  <c r="F2" i="3"/>
  <c r="G2" i="3"/>
  <c r="H2" i="3"/>
  <c r="I2" i="3"/>
  <c r="F3" i="3"/>
  <c r="G3" i="3"/>
  <c r="H3" i="3"/>
  <c r="I3" i="3"/>
  <c r="F4" i="3"/>
  <c r="G4" i="3"/>
  <c r="H4" i="3"/>
  <c r="I4" i="3"/>
  <c r="F5" i="3"/>
  <c r="G5" i="3"/>
  <c r="H5" i="3"/>
  <c r="I5" i="3"/>
  <c r="G6" i="3"/>
  <c r="H6" i="3"/>
  <c r="I6" i="3"/>
  <c r="F7" i="3"/>
  <c r="G7" i="3"/>
  <c r="H7" i="3"/>
  <c r="I7" i="3"/>
  <c r="F8" i="3"/>
  <c r="G8" i="3"/>
  <c r="H8" i="3"/>
  <c r="I8" i="3"/>
  <c r="F9" i="3"/>
  <c r="G9" i="3"/>
  <c r="H9" i="3"/>
  <c r="I9" i="3"/>
  <c r="F10" i="3"/>
  <c r="G10" i="3"/>
  <c r="H10" i="3"/>
  <c r="I10" i="3"/>
  <c r="F11" i="3"/>
  <c r="G11" i="3"/>
  <c r="H11" i="3"/>
  <c r="I11" i="3"/>
  <c r="F12" i="3"/>
  <c r="H12" i="3"/>
  <c r="I12" i="3"/>
  <c r="F13" i="3"/>
  <c r="G13" i="3"/>
  <c r="H13" i="3"/>
  <c r="I13" i="3"/>
  <c r="G14" i="3"/>
  <c r="H14" i="3"/>
  <c r="I14" i="3"/>
  <c r="F15" i="3"/>
  <c r="G15" i="3"/>
  <c r="H15" i="3"/>
  <c r="I15" i="3"/>
  <c r="F16" i="3"/>
  <c r="G16" i="3"/>
  <c r="H16" i="3"/>
  <c r="I16" i="3"/>
  <c r="F17" i="3"/>
  <c r="G17" i="3"/>
  <c r="H17" i="3"/>
  <c r="I17" i="3"/>
  <c r="F18" i="3"/>
  <c r="G18" i="3"/>
  <c r="H18" i="3"/>
  <c r="I18" i="3"/>
  <c r="F19" i="3"/>
  <c r="G19" i="3"/>
  <c r="H19" i="3"/>
  <c r="I19" i="3"/>
  <c r="F20" i="3"/>
  <c r="H20" i="3"/>
  <c r="I20" i="3"/>
  <c r="F21" i="3"/>
  <c r="G21" i="3"/>
  <c r="H21" i="3"/>
  <c r="I21" i="3"/>
  <c r="G22" i="3"/>
  <c r="H22" i="3"/>
  <c r="I22" i="3"/>
  <c r="F23" i="3"/>
  <c r="G23" i="3"/>
  <c r="H23" i="3"/>
  <c r="I23" i="3"/>
  <c r="F24" i="3"/>
  <c r="G24" i="3"/>
  <c r="H24" i="3"/>
  <c r="I24" i="3"/>
  <c r="F25" i="3"/>
  <c r="G25" i="3"/>
  <c r="H25" i="3"/>
  <c r="I25" i="3"/>
  <c r="F26" i="3"/>
  <c r="G26" i="3"/>
  <c r="H26" i="3"/>
  <c r="I26" i="3"/>
  <c r="F27" i="3"/>
  <c r="G27" i="3"/>
  <c r="H27" i="3"/>
  <c r="I27" i="3"/>
  <c r="F28" i="3"/>
  <c r="G28" i="3"/>
  <c r="H28" i="3"/>
  <c r="I28" i="3"/>
  <c r="F29" i="3"/>
  <c r="G29" i="3"/>
  <c r="H29" i="3"/>
  <c r="I29" i="3"/>
  <c r="F30" i="3"/>
  <c r="G30" i="3"/>
  <c r="H30" i="3"/>
  <c r="I30" i="3"/>
  <c r="F31" i="3"/>
  <c r="G31" i="3"/>
  <c r="H31" i="3"/>
  <c r="I31" i="3"/>
  <c r="F32" i="3"/>
  <c r="G32" i="3"/>
  <c r="I32" i="3"/>
  <c r="F33" i="3"/>
  <c r="G33" i="3"/>
  <c r="H33" i="3"/>
  <c r="I33" i="3"/>
  <c r="F34" i="3"/>
  <c r="G34" i="3"/>
  <c r="H34" i="3"/>
  <c r="I34" i="3"/>
  <c r="F35" i="3"/>
  <c r="G35" i="3"/>
  <c r="H35" i="3"/>
  <c r="I35" i="3"/>
  <c r="F36" i="3"/>
  <c r="G36" i="3"/>
  <c r="H36" i="3"/>
  <c r="I36" i="3"/>
  <c r="F37" i="3"/>
  <c r="G37" i="3"/>
  <c r="H37" i="3"/>
  <c r="I37" i="3"/>
  <c r="F38" i="3"/>
  <c r="H38" i="3"/>
  <c r="I38" i="3"/>
  <c r="F39" i="3"/>
  <c r="G39" i="3"/>
  <c r="H39" i="3"/>
  <c r="I39" i="3"/>
  <c r="G40" i="3"/>
  <c r="H40" i="3"/>
  <c r="I40" i="3"/>
  <c r="F41" i="3"/>
  <c r="G41" i="3"/>
  <c r="H41" i="3"/>
  <c r="I41" i="3"/>
  <c r="F42" i="3"/>
  <c r="G42" i="3"/>
  <c r="H42" i="3"/>
  <c r="I42" i="3"/>
  <c r="F43" i="3"/>
  <c r="G43" i="3"/>
  <c r="H43" i="3"/>
  <c r="I43" i="3"/>
  <c r="F44" i="3"/>
  <c r="G44" i="3"/>
  <c r="H44" i="3"/>
  <c r="I44" i="3"/>
  <c r="F45" i="3"/>
  <c r="G45" i="3"/>
  <c r="H45" i="3"/>
  <c r="I45" i="3"/>
  <c r="F46" i="3"/>
  <c r="G46" i="3"/>
  <c r="H46" i="3"/>
  <c r="I46" i="3"/>
  <c r="F47" i="3"/>
  <c r="G47" i="3"/>
  <c r="H47" i="3"/>
  <c r="I47" i="3"/>
  <c r="F48" i="3"/>
  <c r="G48" i="3"/>
  <c r="H48" i="3"/>
  <c r="I48" i="3"/>
  <c r="F49" i="3"/>
  <c r="G49" i="3"/>
  <c r="H49" i="3"/>
  <c r="I49" i="3"/>
  <c r="F50" i="3"/>
  <c r="G50" i="3"/>
  <c r="H50" i="3"/>
  <c r="I50" i="3"/>
  <c r="F51" i="3"/>
  <c r="G51" i="3"/>
  <c r="H51" i="3"/>
  <c r="I51" i="3"/>
  <c r="F52" i="3"/>
  <c r="G52" i="3"/>
  <c r="H52" i="3"/>
  <c r="I52" i="3"/>
  <c r="F53" i="3"/>
  <c r="G53" i="3"/>
  <c r="H53" i="3"/>
  <c r="I53" i="3"/>
  <c r="F54" i="3"/>
  <c r="G54" i="3"/>
  <c r="H54" i="3"/>
  <c r="I54" i="3"/>
  <c r="F55" i="3"/>
  <c r="G55" i="3"/>
  <c r="H55" i="3"/>
  <c r="I55" i="3"/>
  <c r="F56" i="3"/>
  <c r="G56" i="3"/>
  <c r="H56" i="3"/>
  <c r="I56" i="3"/>
  <c r="F57" i="3"/>
  <c r="G57" i="3"/>
  <c r="H57" i="3"/>
  <c r="I57" i="3"/>
  <c r="F58" i="3"/>
  <c r="G58" i="3"/>
  <c r="H58" i="3"/>
  <c r="I58" i="3"/>
  <c r="F59" i="3"/>
  <c r="G59" i="3"/>
  <c r="H59" i="3"/>
  <c r="I59" i="3"/>
  <c r="F60" i="3"/>
  <c r="G60" i="3"/>
  <c r="H60" i="3"/>
  <c r="I60" i="3"/>
  <c r="F61" i="3"/>
  <c r="G61" i="3"/>
  <c r="H61" i="3"/>
  <c r="I61" i="3"/>
  <c r="F62" i="3"/>
  <c r="G62" i="3"/>
  <c r="H62" i="3"/>
  <c r="I62" i="3"/>
  <c r="F63" i="3"/>
  <c r="G63" i="3"/>
  <c r="H63" i="3"/>
  <c r="I63" i="3"/>
  <c r="F64" i="3"/>
  <c r="G64" i="3"/>
  <c r="H64" i="3"/>
  <c r="I64" i="3"/>
  <c r="F65" i="3"/>
  <c r="G65" i="3"/>
  <c r="H65" i="3"/>
  <c r="I65" i="3"/>
  <c r="F66" i="3"/>
  <c r="G66" i="3"/>
  <c r="H66" i="3"/>
  <c r="I66" i="3"/>
  <c r="F67" i="3"/>
  <c r="G67" i="3"/>
  <c r="H67" i="3"/>
  <c r="I67" i="3"/>
  <c r="F68" i="3"/>
  <c r="G68" i="3"/>
  <c r="H68" i="3"/>
  <c r="I68" i="3"/>
  <c r="F69" i="3"/>
  <c r="G69" i="3"/>
  <c r="H69" i="3"/>
  <c r="I69" i="3"/>
  <c r="F70" i="3"/>
  <c r="G70" i="3"/>
  <c r="H70" i="3"/>
  <c r="I70" i="3"/>
  <c r="F71" i="3"/>
  <c r="G71" i="3"/>
  <c r="H71" i="3"/>
  <c r="I71" i="3"/>
  <c r="F72" i="3"/>
  <c r="G72" i="3"/>
  <c r="H72" i="3"/>
  <c r="I72" i="3"/>
  <c r="F73" i="3"/>
  <c r="G73" i="3"/>
  <c r="H73" i="3"/>
  <c r="I73" i="3"/>
  <c r="F74" i="3"/>
  <c r="G74" i="3"/>
  <c r="H74" i="3"/>
  <c r="I74" i="3"/>
  <c r="F75" i="3"/>
  <c r="G75" i="3"/>
  <c r="H75" i="3"/>
  <c r="I75" i="3"/>
  <c r="F76" i="3"/>
  <c r="G76" i="3"/>
  <c r="H76" i="3"/>
  <c r="I76" i="3"/>
  <c r="F77" i="3"/>
  <c r="G77" i="3"/>
  <c r="H77" i="3"/>
  <c r="I77" i="3"/>
  <c r="F78" i="3"/>
  <c r="G78" i="3"/>
  <c r="H78" i="3"/>
  <c r="I78" i="3"/>
  <c r="F79" i="3"/>
  <c r="G79" i="3"/>
  <c r="H79" i="3"/>
  <c r="I79" i="3"/>
  <c r="F80" i="3"/>
  <c r="G80" i="3"/>
  <c r="H80" i="3"/>
  <c r="I80" i="3"/>
  <c r="F81" i="3"/>
  <c r="G81" i="3"/>
  <c r="H81" i="3"/>
  <c r="I81" i="3"/>
  <c r="F82" i="3"/>
  <c r="G82" i="3"/>
  <c r="H82" i="3"/>
  <c r="I82" i="3"/>
  <c r="F83" i="3"/>
  <c r="G83" i="3"/>
  <c r="H83" i="3"/>
  <c r="I83" i="3"/>
  <c r="F84" i="3"/>
  <c r="G84" i="3"/>
  <c r="H84" i="3"/>
  <c r="I84" i="3"/>
  <c r="F85" i="3"/>
  <c r="G85" i="3"/>
  <c r="H85" i="3"/>
  <c r="I85" i="3"/>
  <c r="F86" i="3"/>
  <c r="G86" i="3"/>
  <c r="H86" i="3"/>
  <c r="I86" i="3"/>
  <c r="F87" i="3"/>
  <c r="G87" i="3"/>
  <c r="H87" i="3"/>
  <c r="I87" i="3"/>
  <c r="F88" i="3"/>
  <c r="G88" i="3"/>
  <c r="H88" i="3"/>
  <c r="I88" i="3"/>
  <c r="F89" i="3"/>
  <c r="G89" i="3"/>
  <c r="H89" i="3"/>
  <c r="I89" i="3"/>
  <c r="F90" i="3"/>
  <c r="G90" i="3"/>
  <c r="H90" i="3"/>
  <c r="I90" i="3"/>
  <c r="F91" i="3"/>
  <c r="G91" i="3"/>
  <c r="H91" i="3"/>
  <c r="I91" i="3"/>
  <c r="F92" i="3"/>
  <c r="G92" i="3"/>
  <c r="H92" i="3"/>
  <c r="I92" i="3"/>
  <c r="F93" i="3"/>
  <c r="G93" i="3"/>
  <c r="H93" i="3"/>
  <c r="I93" i="3"/>
  <c r="F94" i="3"/>
  <c r="G94" i="3"/>
  <c r="H94" i="3"/>
  <c r="I94" i="3"/>
  <c r="F95" i="3"/>
  <c r="G95" i="3"/>
  <c r="H95" i="3"/>
  <c r="I95" i="3"/>
  <c r="F96" i="3"/>
  <c r="G96" i="3"/>
  <c r="H96" i="3"/>
  <c r="I96" i="3"/>
  <c r="F97" i="3"/>
  <c r="G97" i="3"/>
  <c r="H97" i="3"/>
  <c r="I97" i="3"/>
  <c r="F98" i="3"/>
  <c r="G98" i="3"/>
  <c r="H98" i="3"/>
  <c r="I98" i="3"/>
  <c r="F99" i="3"/>
  <c r="G99" i="3"/>
  <c r="H99" i="3"/>
  <c r="I99" i="3"/>
  <c r="F100" i="3"/>
  <c r="G100" i="3"/>
  <c r="H100" i="3"/>
  <c r="I100" i="3"/>
  <c r="F101" i="3"/>
  <c r="G101" i="3"/>
  <c r="H101" i="3"/>
  <c r="I101" i="3"/>
  <c r="F102" i="3"/>
  <c r="G102" i="3"/>
  <c r="H102" i="3"/>
  <c r="I102" i="3"/>
  <c r="F103" i="3"/>
  <c r="G103" i="3"/>
  <c r="H103" i="3"/>
  <c r="I103" i="3"/>
  <c r="F104" i="3"/>
  <c r="G104" i="3"/>
  <c r="H104" i="3"/>
  <c r="I104" i="3"/>
  <c r="F105" i="3"/>
  <c r="G105" i="3"/>
  <c r="H105" i="3"/>
  <c r="I105" i="3"/>
  <c r="F106" i="3"/>
  <c r="G106" i="3"/>
  <c r="H106" i="3"/>
  <c r="I106" i="3"/>
  <c r="F107" i="3"/>
  <c r="G107" i="3"/>
  <c r="H107" i="3"/>
  <c r="I107" i="3"/>
  <c r="F108" i="3"/>
  <c r="G108" i="3"/>
  <c r="H108" i="3"/>
  <c r="I108" i="3"/>
  <c r="F109" i="3"/>
  <c r="G109" i="3"/>
  <c r="H109" i="3"/>
  <c r="I109" i="3"/>
  <c r="F110" i="3"/>
  <c r="G110" i="3"/>
  <c r="H110" i="3"/>
  <c r="I110" i="3"/>
  <c r="F111" i="3"/>
  <c r="G111" i="3"/>
  <c r="H111" i="3"/>
  <c r="I111" i="3"/>
  <c r="F112" i="3"/>
  <c r="G112" i="3"/>
  <c r="H112" i="3"/>
  <c r="I112" i="3"/>
  <c r="F113" i="3"/>
  <c r="G113" i="3"/>
  <c r="H113" i="3"/>
  <c r="I113" i="3"/>
  <c r="F114" i="3"/>
  <c r="G114" i="3"/>
  <c r="H114" i="3"/>
  <c r="I114" i="3"/>
  <c r="F115" i="3"/>
  <c r="G115" i="3"/>
  <c r="H115" i="3"/>
  <c r="I115" i="3"/>
  <c r="F116" i="3"/>
  <c r="G116" i="3"/>
  <c r="H116" i="3"/>
  <c r="I116" i="3"/>
  <c r="F117" i="3"/>
  <c r="G117" i="3"/>
  <c r="H117" i="3"/>
  <c r="I117" i="3"/>
  <c r="F118" i="3"/>
  <c r="G118" i="3"/>
  <c r="H118" i="3"/>
  <c r="I118" i="3"/>
  <c r="F119" i="3"/>
  <c r="G119" i="3"/>
  <c r="H119" i="3"/>
  <c r="I119" i="3"/>
  <c r="Q2" i="3" a="1"/>
  <c r="Q2" i="3" s="1"/>
  <c r="T2" i="3" a="1"/>
  <c r="T2" i="3" s="1"/>
  <c r="W2" i="3" a="1"/>
  <c r="W2" i="3" s="1"/>
  <c r="Z2" i="3" a="1"/>
  <c r="Z2" i="3" s="1"/>
  <c r="S2" i="3" a="1"/>
  <c r="S2" i="3" s="1"/>
  <c r="V2" i="3" a="1"/>
  <c r="V2" i="3" s="1"/>
  <c r="Y2" i="3" a="1"/>
  <c r="Y2" i="3" s="1"/>
  <c r="AB2" i="3" a="1"/>
  <c r="AB2" i="3" s="1"/>
  <c r="R2" i="3" a="1"/>
  <c r="R2" i="3" s="1"/>
  <c r="U2" i="3" a="1"/>
  <c r="U2" i="3" s="1"/>
  <c r="X2" i="3" a="1"/>
  <c r="X2" i="3" s="1"/>
  <c r="AA2" i="3" a="1"/>
  <c r="AA2" i="3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<sst xmlns="http://schemas.openxmlformats.org/spreadsheetml/2006/main" count="1050" uniqueCount="248">
  <si>
    <t>H</t>
  </si>
  <si>
    <t>Hydrogen</t>
  </si>
  <si>
    <t>He</t>
  </si>
  <si>
    <t>Helium</t>
  </si>
  <si>
    <t>no data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</si>
  <si>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</si>
  <si>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</si>
  <si>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</si>
  <si>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</si>
  <si>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</si>
  <si>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</si>
  <si>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</si>
  <si>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</si>
  <si>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</si>
  <si>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</si>
  <si>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</si>
  <si>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</si>
  <si>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</si>
  <si>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</si>
  <si>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</si>
  <si>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</si>
  <si>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</si>
  <si>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</si>
  <si>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</si>
  <si>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</si>
  <si>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</si>
  <si>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</si>
  <si>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</si>
  <si>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</si>
  <si>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</si>
  <si>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</si>
  <si>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</si>
  <si>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</si>
  <si>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</si>
  <si>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</si>
  <si>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</si>
  <si>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</si>
  <si>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</si>
  <si>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</si>
  <si>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</si>
  <si>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</si>
  <si>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</si>
  <si>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</si>
  <si>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</si>
  <si>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</si>
  <si>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</si>
  <si>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</si>
  <si>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</si>
  <si>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</si>
  <si>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</si>
  <si>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</si>
  <si>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</si>
  <si>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</si>
  <si>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</si>
  <si>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</si>
  <si>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</si>
  <si>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</si>
  <si>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</si>
  <si>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</si>
  <si>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</si>
  <si>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</si>
  <si>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</si>
  <si>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</si>
  <si>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</si>
  <si>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</si>
  <si>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</si>
  <si>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</si>
  <si>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</si>
  <si>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</si>
  <si>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</si>
  <si>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</si>
  <si>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</si>
  <si>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</si>
  <si>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</si>
  <si>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</si>
  <si>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</si>
  <si>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</si>
  <si>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</si>
  <si>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</si>
  <si>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</si>
  <si>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</si>
  <si>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</si>
  <si>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</si>
  <si>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</si>
  <si>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</si>
  <si>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</si>
  <si>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</si>
  <si>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</si>
  <si>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</si>
  <si>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</si>
  <si>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</si>
  <si>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</si>
  <si>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</si>
  <si>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</si>
  <si>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</si>
  <si>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</si>
  <si>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</si>
  <si>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</si>
  <si>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</si>
  <si>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</si>
  <si>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</si>
  <si>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</si>
  <si>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</si>
  <si>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</si>
  <si>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</si>
  <si>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</si>
  <si>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</si>
  <si>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</si>
  <si>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</si>
  <si>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</si>
  <si>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Cesium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</si>
  <si>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</si>
  <si>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</si>
  <si>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</si>
  <si>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</si>
  <si>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</si>
  <si>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</si>
  <si>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</si>
  <si>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</si>
  <si>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</si>
  <si>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</si>
  <si>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</si>
  <si>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</si>
  <si>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</si>
  <si>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</si>
  <si>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</si>
  <si>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</si>
  <si>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</si>
  <si>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</si>
  <si>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</si>
  <si>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</si>
  <si>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</si>
  <si>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</si>
  <si>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</si>
  <si>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</si>
  <si>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</si>
  <si>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</si>
  <si>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</si>
  <si>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</si>
  <si>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</si>
  <si>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</si>
  <si>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</si>
  <si>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</si>
  <si>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</si>
  <si>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</si>
  <si>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</si>
  <si>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</si>
  <si>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</si>
  <si>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</si>
  <si>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</si>
  <si>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</si>
  <si>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</si>
  <si>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</si>
  <si>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</si>
  <si>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</si>
  <si>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</si>
  <si>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</si>
  <si>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</si>
  <si>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</si>
  <si>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</si>
  <si>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</si>
  <si>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</si>
  <si>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</si>
  <si>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</si>
  <si>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</si>
  <si>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</si>
  <si>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</si>
  <si>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</si>
  <si>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</si>
  <si>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</si>
  <si>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</si>
  <si>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</si>
  <si>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</si>
  <si>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</si>
  <si>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</si>
  <si>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</si>
  <si>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</si>
  <si>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</si>
  <si>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</si>
  <si>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</si>
  <si>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</si>
  <si>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</si>
  <si>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</si>
  <si>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</si>
  <si>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</si>
  <si>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</si>
  <si>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</si>
  <si>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</si>
  <si>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</si>
  <si>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</si>
  <si>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</si>
  <si>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</si>
  <si>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</si>
  <si>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</si>
  <si>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</si>
  <si>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</si>
  <si>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</si>
  <si>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</si>
  <si>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</si>
  <si>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</si>
  <si>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</si>
  <si>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Md</t>
  </si>
  <si>
    <t>Mendelevium</t>
  </si>
  <si>
    <t>No</t>
  </si>
  <si>
    <t>Nobelium</t>
  </si>
  <si>
    <t>Lr</t>
  </si>
  <si>
    <t>Lawrencium</t>
  </si>
  <si>
    <t>Rf</t>
  </si>
  <si>
    <t>Rutherfordium</t>
  </si>
  <si>
    <t>Db</t>
  </si>
  <si>
    <t>Dubnium</t>
  </si>
  <si>
    <t>Sg</t>
  </si>
  <si>
    <t>Seaborgium</t>
  </si>
  <si>
    <t>Bh</t>
  </si>
  <si>
    <t>Bohrium</t>
  </si>
  <si>
    <t>Hs</t>
  </si>
  <si>
    <t>Hassium</t>
  </si>
  <si>
    <t>Mt</t>
  </si>
  <si>
    <t>Meitnerium</t>
  </si>
  <si>
    <t>Ds</t>
  </si>
  <si>
    <t>Darmstadtium</t>
  </si>
  <si>
    <t>Rg</t>
  </si>
  <si>
    <t>Roentgenium</t>
  </si>
  <si>
    <t>Cn</t>
  </si>
  <si>
    <t>Copernicium</t>
  </si>
  <si>
    <t>Nh</t>
  </si>
  <si>
    <t>Nihonium</t>
  </si>
  <si>
    <t>Fl</t>
  </si>
  <si>
    <t>Flerovium</t>
  </si>
  <si>
    <t>Mc</t>
  </si>
  <si>
    <t>Moscovium</t>
  </si>
  <si>
    <t>Lv</t>
  </si>
  <si>
    <t>Livermorium</t>
  </si>
  <si>
    <t>Ts</t>
  </si>
  <si>
    <t>Tennessine</t>
  </si>
  <si>
    <t>Og</t>
  </si>
  <si>
    <t>Oganesson</t>
  </si>
  <si>
    <t>s</t>
  </si>
  <si>
    <t>p</t>
  </si>
  <si>
    <t>d</t>
  </si>
  <si>
    <t>f</t>
  </si>
  <si>
    <t>összes</t>
  </si>
  <si>
    <t>rendszám</t>
  </si>
  <si>
    <t>vegyjel</t>
  </si>
  <si>
    <t>angol név</t>
  </si>
  <si>
    <t>mező</t>
  </si>
  <si>
    <t>angol</t>
  </si>
  <si>
    <t>címke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</si>
</sst>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elemek</a:t>
            </a:r>
            <a:r>
              <a:rPr lang="hu-HU" baseline="0"/>
              <a:t> elektronegativitása</a:t>
            </a:r>
            <a:br>
              <a:rPr lang="hu-HU" baseline="0"/>
            </a:br>
            <a:r>
              <a:rPr lang="hu-HU" baseline="0"/>
              <a:t>a periódusos rendszerben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elektronegativitás!$D$1</c:f>
              <c:strCache>
                <c:ptCount val="1"/>
                <c:pt idx="0">
                  <c:v>összes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elektronegativitás!$A$2:$C$119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elektronegativitás!$B$2:$B$119</c:f>
              <c:strCache>
                <c:ptCount val="11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  <c:pt idx="38">
                  <c:v>Y</c:v>
                </c:pt>
                <c:pt idx="39">
                  <c:v>Zr</c:v>
                </c:pt>
                <c:pt idx="40">
                  <c:v>Nb</c:v>
                </c:pt>
                <c:pt idx="41">
                  <c:v>Mo</c:v>
                </c:pt>
                <c:pt idx="42">
                  <c:v>Tc</c:v>
                </c:pt>
                <c:pt idx="43">
                  <c:v>Ru</c:v>
                </c:pt>
                <c:pt idx="44">
                  <c:v>Rh</c:v>
                </c:pt>
                <c:pt idx="45">
                  <c:v>Pd</c:v>
                </c:pt>
                <c:pt idx="46">
                  <c:v>Ag</c:v>
                </c:pt>
                <c:pt idx="47">
                  <c:v>Cd</c:v>
                </c:pt>
                <c:pt idx="48">
                  <c:v>In</c:v>
                </c:pt>
                <c:pt idx="49">
                  <c:v>Sn</c:v>
                </c:pt>
                <c:pt idx="50">
                  <c:v>Sb</c:v>
                </c:pt>
                <c:pt idx="51">
                  <c:v>Te</c:v>
                </c:pt>
                <c:pt idx="52">
                  <c:v>I</c:v>
                </c:pt>
                <c:pt idx="53">
                  <c:v>Xe</c:v>
                </c:pt>
                <c:pt idx="54">
                  <c:v>Cs</c:v>
                </c:pt>
                <c:pt idx="55">
                  <c:v>Ba</c:v>
                </c:pt>
                <c:pt idx="56">
                  <c:v>La</c:v>
                </c:pt>
                <c:pt idx="57">
                  <c:v>Ce</c:v>
                </c:pt>
                <c:pt idx="58">
                  <c:v>Pr</c:v>
                </c:pt>
                <c:pt idx="59">
                  <c:v>Nd</c:v>
                </c:pt>
                <c:pt idx="60">
                  <c:v>Pm</c:v>
                </c:pt>
                <c:pt idx="61">
                  <c:v>Sm</c:v>
                </c:pt>
                <c:pt idx="62">
                  <c:v>Eu</c:v>
                </c:pt>
                <c:pt idx="63">
                  <c:v>Gd</c:v>
                </c:pt>
                <c:pt idx="64">
                  <c:v>Tb</c:v>
                </c:pt>
                <c:pt idx="65">
                  <c:v>Dy</c:v>
                </c:pt>
                <c:pt idx="66">
                  <c:v>Ho</c:v>
                </c:pt>
                <c:pt idx="67">
                  <c:v>Er</c:v>
                </c:pt>
                <c:pt idx="68">
                  <c:v>Tm</c:v>
                </c:pt>
                <c:pt idx="69">
                  <c:v>Yb</c:v>
                </c:pt>
                <c:pt idx="70">
                  <c:v>Lu</c:v>
                </c:pt>
                <c:pt idx="71">
                  <c:v>Hf</c:v>
                </c:pt>
                <c:pt idx="72">
                  <c:v>Ta</c:v>
                </c:pt>
                <c:pt idx="73">
                  <c:v>W</c:v>
                </c:pt>
                <c:pt idx="74">
                  <c:v>Re</c:v>
                </c:pt>
                <c:pt idx="75">
                  <c:v>Os</c:v>
                </c:pt>
                <c:pt idx="76">
                  <c:v>Ir</c:v>
                </c:pt>
                <c:pt idx="77">
                  <c:v>Pt</c:v>
                </c:pt>
                <c:pt idx="78">
                  <c:v>Au</c:v>
                </c:pt>
                <c:pt idx="79">
                  <c:v>Hg</c:v>
                </c:pt>
                <c:pt idx="80">
                  <c:v>Tl</c:v>
                </c:pt>
                <c:pt idx="81">
                  <c:v>Pb</c:v>
                </c:pt>
                <c:pt idx="82">
                  <c:v>Bi</c:v>
                </c:pt>
                <c:pt idx="83">
                  <c:v>Po</c:v>
                </c:pt>
                <c:pt idx="84">
                  <c:v>At</c:v>
                </c:pt>
                <c:pt idx="85">
                  <c:v>Rn</c:v>
                </c:pt>
                <c:pt idx="86">
                  <c:v>Fr</c:v>
                </c:pt>
                <c:pt idx="87">
                  <c:v>Ra</c:v>
                </c:pt>
                <c:pt idx="88">
                  <c:v>Ac</c:v>
                </c:pt>
                <c:pt idx="89">
                  <c:v>Th</c:v>
                </c:pt>
                <c:pt idx="90">
                  <c:v>Pa</c:v>
                </c:pt>
                <c:pt idx="91">
                  <c:v>U</c:v>
                </c:pt>
                <c:pt idx="92">
                  <c:v>Np</c:v>
                </c:pt>
                <c:pt idx="93">
                  <c:v>Pu</c:v>
                </c:pt>
                <c:pt idx="94">
                  <c:v>Am</c:v>
                </c:pt>
                <c:pt idx="95">
                  <c:v>Cm</c:v>
                </c:pt>
                <c:pt idx="96">
                  <c:v>Bk</c:v>
                </c:pt>
                <c:pt idx="97">
                  <c:v>Cf</c:v>
                </c:pt>
                <c:pt idx="98">
                  <c:v>Es</c:v>
                </c:pt>
                <c:pt idx="99">
                  <c:v>Fm</c:v>
                </c:pt>
                <c:pt idx="100">
                  <c:v>Md</c:v>
                </c:pt>
                <c:pt idx="101">
                  <c:v>No</c:v>
                </c:pt>
                <c:pt idx="102">
                  <c:v>Lr</c:v>
                </c:pt>
                <c:pt idx="103">
                  <c:v>Rf</c:v>
                </c:pt>
                <c:pt idx="104">
                  <c:v>Db</c:v>
                </c:pt>
                <c:pt idx="105">
                  <c:v>Sg</c:v>
                </c:pt>
                <c:pt idx="106">
                  <c:v>Bh</c:v>
                </c:pt>
                <c:pt idx="107">
                  <c:v>Hs</c:v>
                </c:pt>
                <c:pt idx="108">
                  <c:v>Mt</c:v>
                </c:pt>
                <c:pt idx="109">
                  <c:v>Ds</c:v>
                </c:pt>
                <c:pt idx="110">
                  <c:v>Rg</c:v>
                </c:pt>
                <c:pt idx="111">
                  <c:v>Cn</c:v>
                </c:pt>
                <c:pt idx="112">
                  <c:v>Nh</c:v>
                </c:pt>
                <c:pt idx="113">
                  <c:v>Fl</c:v>
                </c:pt>
                <c:pt idx="114">
                  <c:v>Mc</c:v>
                </c:pt>
                <c:pt idx="115">
                  <c:v>Lv</c:v>
                </c:pt>
                <c:pt idx="116">
                  <c:v>Ts</c:v>
                </c:pt>
                <c:pt idx="117">
                  <c:v>Og</c:v>
                </c:pt>
              </c:strCache>
            </c:strRef>
          </c:cat>
          <c:val>
            <c:numRef>
              <c:f>elektronegativitás!$D$2:$D$119</c:f>
              <c:numCache>
                <c:formatCode>0.00</c:formatCode>
                <c:ptCount val="118"/>
                <c:pt idx="0">
                  <c:v>2.2000000000000002</c:v>
                </c:pt>
                <c:pt idx="1">
                  <c:v>0</c:v>
                </c:pt>
                <c:pt idx="2">
                  <c:v>0.98</c:v>
                </c:pt>
                <c:pt idx="3">
                  <c:v>1.57</c:v>
                </c:pt>
                <c:pt idx="4">
                  <c:v>2.04</c:v>
                </c:pt>
                <c:pt idx="5">
                  <c:v>2.5499999999999998</c:v>
                </c:pt>
                <c:pt idx="6">
                  <c:v>3.04</c:v>
                </c:pt>
                <c:pt idx="7">
                  <c:v>3.44</c:v>
                </c:pt>
                <c:pt idx="8">
                  <c:v>3.98</c:v>
                </c:pt>
                <c:pt idx="9">
                  <c:v>0</c:v>
                </c:pt>
                <c:pt idx="10">
                  <c:v>0.93</c:v>
                </c:pt>
                <c:pt idx="11">
                  <c:v>1.31</c:v>
                </c:pt>
                <c:pt idx="12">
                  <c:v>1.61</c:v>
                </c:pt>
                <c:pt idx="13">
                  <c:v>1.9</c:v>
                </c:pt>
                <c:pt idx="14">
                  <c:v>2.19</c:v>
                </c:pt>
                <c:pt idx="15">
                  <c:v>2.58</c:v>
                </c:pt>
                <c:pt idx="16">
                  <c:v>3.16</c:v>
                </c:pt>
                <c:pt idx="17">
                  <c:v>0</c:v>
                </c:pt>
                <c:pt idx="18">
                  <c:v>0.82</c:v>
                </c:pt>
                <c:pt idx="19">
                  <c:v>1</c:v>
                </c:pt>
                <c:pt idx="20">
                  <c:v>1.36</c:v>
                </c:pt>
                <c:pt idx="21">
                  <c:v>1.54</c:v>
                </c:pt>
                <c:pt idx="22">
                  <c:v>1.63</c:v>
                </c:pt>
                <c:pt idx="23">
                  <c:v>1.66</c:v>
                </c:pt>
                <c:pt idx="24">
                  <c:v>1.55</c:v>
                </c:pt>
                <c:pt idx="25">
                  <c:v>1.83</c:v>
                </c:pt>
                <c:pt idx="26">
                  <c:v>1.88</c:v>
                </c:pt>
                <c:pt idx="27">
                  <c:v>1.91</c:v>
                </c:pt>
                <c:pt idx="28">
                  <c:v>1.9</c:v>
                </c:pt>
                <c:pt idx="29">
                  <c:v>1.65</c:v>
                </c:pt>
                <c:pt idx="30">
                  <c:v>1.81</c:v>
                </c:pt>
                <c:pt idx="31">
                  <c:v>2.0099999999999998</c:v>
                </c:pt>
                <c:pt idx="32">
                  <c:v>2.1800000000000002</c:v>
                </c:pt>
                <c:pt idx="33">
                  <c:v>2.5499999999999998</c:v>
                </c:pt>
                <c:pt idx="34">
                  <c:v>2.96</c:v>
                </c:pt>
                <c:pt idx="35">
                  <c:v>3</c:v>
                </c:pt>
                <c:pt idx="36">
                  <c:v>0.82</c:v>
                </c:pt>
                <c:pt idx="37">
                  <c:v>0.95</c:v>
                </c:pt>
                <c:pt idx="38">
                  <c:v>1.22</c:v>
                </c:pt>
                <c:pt idx="39">
                  <c:v>1.33</c:v>
                </c:pt>
                <c:pt idx="40">
                  <c:v>1.6</c:v>
                </c:pt>
                <c:pt idx="41">
                  <c:v>2.16</c:v>
                </c:pt>
                <c:pt idx="42">
                  <c:v>1.9</c:v>
                </c:pt>
                <c:pt idx="43">
                  <c:v>2.2000000000000002</c:v>
                </c:pt>
                <c:pt idx="44">
                  <c:v>2.2799999999999998</c:v>
                </c:pt>
                <c:pt idx="45">
                  <c:v>2.2000000000000002</c:v>
                </c:pt>
                <c:pt idx="46">
                  <c:v>1.93</c:v>
                </c:pt>
                <c:pt idx="47">
                  <c:v>1.69</c:v>
                </c:pt>
                <c:pt idx="48">
                  <c:v>1.78</c:v>
                </c:pt>
                <c:pt idx="49">
                  <c:v>1.96</c:v>
                </c:pt>
                <c:pt idx="50">
                  <c:v>2.0499999999999998</c:v>
                </c:pt>
                <c:pt idx="51">
                  <c:v>2.1</c:v>
                </c:pt>
                <c:pt idx="52">
                  <c:v>2.66</c:v>
                </c:pt>
                <c:pt idx="53">
                  <c:v>2.6</c:v>
                </c:pt>
                <c:pt idx="54">
                  <c:v>0.79</c:v>
                </c:pt>
                <c:pt idx="55">
                  <c:v>0.89</c:v>
                </c:pt>
                <c:pt idx="56">
                  <c:v>1.1000000000000001</c:v>
                </c:pt>
                <c:pt idx="57">
                  <c:v>1.1200000000000001</c:v>
                </c:pt>
                <c:pt idx="58">
                  <c:v>1.1299999999999999</c:v>
                </c:pt>
                <c:pt idx="59">
                  <c:v>1.1399999999999999</c:v>
                </c:pt>
                <c:pt idx="60">
                  <c:v>1.1299999999999999</c:v>
                </c:pt>
                <c:pt idx="61">
                  <c:v>1.17</c:v>
                </c:pt>
                <c:pt idx="62">
                  <c:v>1.2</c:v>
                </c:pt>
                <c:pt idx="63">
                  <c:v>1.2</c:v>
                </c:pt>
                <c:pt idx="64">
                  <c:v>1.22</c:v>
                </c:pt>
                <c:pt idx="65">
                  <c:v>1.23</c:v>
                </c:pt>
                <c:pt idx="66">
                  <c:v>1.24</c:v>
                </c:pt>
                <c:pt idx="67">
                  <c:v>1.24</c:v>
                </c:pt>
                <c:pt idx="68">
                  <c:v>1.25</c:v>
                </c:pt>
                <c:pt idx="69">
                  <c:v>1.1000000000000001</c:v>
                </c:pt>
                <c:pt idx="70">
                  <c:v>1.27</c:v>
                </c:pt>
                <c:pt idx="71">
                  <c:v>1.3</c:v>
                </c:pt>
                <c:pt idx="72">
                  <c:v>1.5</c:v>
                </c:pt>
                <c:pt idx="73">
                  <c:v>2.36</c:v>
                </c:pt>
                <c:pt idx="74">
                  <c:v>1.9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2.2799999999999998</c:v>
                </c:pt>
                <c:pt idx="78">
                  <c:v>2.54</c:v>
                </c:pt>
                <c:pt idx="79">
                  <c:v>2</c:v>
                </c:pt>
                <c:pt idx="80">
                  <c:v>1.62</c:v>
                </c:pt>
                <c:pt idx="81">
                  <c:v>2.33</c:v>
                </c:pt>
                <c:pt idx="82">
                  <c:v>2.02</c:v>
                </c:pt>
                <c:pt idx="83">
                  <c:v>2</c:v>
                </c:pt>
                <c:pt idx="84">
                  <c:v>2.2000000000000002</c:v>
                </c:pt>
                <c:pt idx="85">
                  <c:v>0</c:v>
                </c:pt>
                <c:pt idx="86">
                  <c:v>0.7</c:v>
                </c:pt>
                <c:pt idx="87">
                  <c:v>0.89</c:v>
                </c:pt>
                <c:pt idx="88">
                  <c:v>1.1000000000000001</c:v>
                </c:pt>
                <c:pt idx="89">
                  <c:v>1.3</c:v>
                </c:pt>
                <c:pt idx="90">
                  <c:v>1.5</c:v>
                </c:pt>
                <c:pt idx="91">
                  <c:v>1.38</c:v>
                </c:pt>
                <c:pt idx="92">
                  <c:v>1.36</c:v>
                </c:pt>
                <c:pt idx="93">
                  <c:v>1.28</c:v>
                </c:pt>
                <c:pt idx="94">
                  <c:v>1.3</c:v>
                </c:pt>
                <c:pt idx="95">
                  <c:v>1.3</c:v>
                </c:pt>
                <c:pt idx="96">
                  <c:v>1.3</c:v>
                </c:pt>
                <c:pt idx="97">
                  <c:v>1.3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7-478D-8E56-C18F1D375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206783"/>
        <c:axId val="992230303"/>
      </c:lineChart>
      <c:catAx>
        <c:axId val="99220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92230303"/>
        <c:crosses val="autoZero"/>
        <c:auto val="1"/>
        <c:lblAlgn val="ctr"/>
        <c:lblOffset val="100"/>
        <c:noMultiLvlLbl val="0"/>
      </c:catAx>
      <c:valAx>
        <c:axId val="9922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9220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elemek elektronegativitása</a:t>
            </a:r>
            <a:r>
              <a:rPr lang="hu-HU" baseline="0"/>
              <a:t> mezők szerint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elektronegativitás!$E$1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elektronegativitás!$A$2:$B$119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elektronegativitás!$B$2:$B$119</c:f>
              <c:strCache>
                <c:ptCount val="11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  <c:pt idx="38">
                  <c:v>Y</c:v>
                </c:pt>
                <c:pt idx="39">
                  <c:v>Zr</c:v>
                </c:pt>
                <c:pt idx="40">
                  <c:v>Nb</c:v>
                </c:pt>
                <c:pt idx="41">
                  <c:v>Mo</c:v>
                </c:pt>
                <c:pt idx="42">
                  <c:v>Tc</c:v>
                </c:pt>
                <c:pt idx="43">
                  <c:v>Ru</c:v>
                </c:pt>
                <c:pt idx="44">
                  <c:v>Rh</c:v>
                </c:pt>
                <c:pt idx="45">
                  <c:v>Pd</c:v>
                </c:pt>
                <c:pt idx="46">
                  <c:v>Ag</c:v>
                </c:pt>
                <c:pt idx="47">
                  <c:v>Cd</c:v>
                </c:pt>
                <c:pt idx="48">
                  <c:v>In</c:v>
                </c:pt>
                <c:pt idx="49">
                  <c:v>Sn</c:v>
                </c:pt>
                <c:pt idx="50">
                  <c:v>Sb</c:v>
                </c:pt>
                <c:pt idx="51">
                  <c:v>Te</c:v>
                </c:pt>
                <c:pt idx="52">
                  <c:v>I</c:v>
                </c:pt>
                <c:pt idx="53">
                  <c:v>Xe</c:v>
                </c:pt>
                <c:pt idx="54">
                  <c:v>Cs</c:v>
                </c:pt>
                <c:pt idx="55">
                  <c:v>Ba</c:v>
                </c:pt>
                <c:pt idx="56">
                  <c:v>La</c:v>
                </c:pt>
                <c:pt idx="57">
                  <c:v>Ce</c:v>
                </c:pt>
                <c:pt idx="58">
                  <c:v>Pr</c:v>
                </c:pt>
                <c:pt idx="59">
                  <c:v>Nd</c:v>
                </c:pt>
                <c:pt idx="60">
                  <c:v>Pm</c:v>
                </c:pt>
                <c:pt idx="61">
                  <c:v>Sm</c:v>
                </c:pt>
                <c:pt idx="62">
                  <c:v>Eu</c:v>
                </c:pt>
                <c:pt idx="63">
                  <c:v>Gd</c:v>
                </c:pt>
                <c:pt idx="64">
                  <c:v>Tb</c:v>
                </c:pt>
                <c:pt idx="65">
                  <c:v>Dy</c:v>
                </c:pt>
                <c:pt idx="66">
                  <c:v>Ho</c:v>
                </c:pt>
                <c:pt idx="67">
                  <c:v>Er</c:v>
                </c:pt>
                <c:pt idx="68">
                  <c:v>Tm</c:v>
                </c:pt>
                <c:pt idx="69">
                  <c:v>Yb</c:v>
                </c:pt>
                <c:pt idx="70">
                  <c:v>Lu</c:v>
                </c:pt>
                <c:pt idx="71">
                  <c:v>Hf</c:v>
                </c:pt>
                <c:pt idx="72">
                  <c:v>Ta</c:v>
                </c:pt>
                <c:pt idx="73">
                  <c:v>W</c:v>
                </c:pt>
                <c:pt idx="74">
                  <c:v>Re</c:v>
                </c:pt>
                <c:pt idx="75">
                  <c:v>Os</c:v>
                </c:pt>
                <c:pt idx="76">
                  <c:v>Ir</c:v>
                </c:pt>
                <c:pt idx="77">
                  <c:v>Pt</c:v>
                </c:pt>
                <c:pt idx="78">
                  <c:v>Au</c:v>
                </c:pt>
                <c:pt idx="79">
                  <c:v>Hg</c:v>
                </c:pt>
                <c:pt idx="80">
                  <c:v>Tl</c:v>
                </c:pt>
                <c:pt idx="81">
                  <c:v>Pb</c:v>
                </c:pt>
                <c:pt idx="82">
                  <c:v>Bi</c:v>
                </c:pt>
                <c:pt idx="83">
                  <c:v>Po</c:v>
                </c:pt>
                <c:pt idx="84">
                  <c:v>At</c:v>
                </c:pt>
                <c:pt idx="85">
                  <c:v>Rn</c:v>
                </c:pt>
                <c:pt idx="86">
                  <c:v>Fr</c:v>
                </c:pt>
                <c:pt idx="87">
                  <c:v>Ra</c:v>
                </c:pt>
                <c:pt idx="88">
                  <c:v>Ac</c:v>
                </c:pt>
                <c:pt idx="89">
                  <c:v>Th</c:v>
                </c:pt>
                <c:pt idx="90">
                  <c:v>Pa</c:v>
                </c:pt>
                <c:pt idx="91">
                  <c:v>U</c:v>
                </c:pt>
                <c:pt idx="92">
                  <c:v>Np</c:v>
                </c:pt>
                <c:pt idx="93">
                  <c:v>Pu</c:v>
                </c:pt>
                <c:pt idx="94">
                  <c:v>Am</c:v>
                </c:pt>
                <c:pt idx="95">
                  <c:v>Cm</c:v>
                </c:pt>
                <c:pt idx="96">
                  <c:v>Bk</c:v>
                </c:pt>
                <c:pt idx="97">
                  <c:v>Cf</c:v>
                </c:pt>
                <c:pt idx="98">
                  <c:v>Es</c:v>
                </c:pt>
                <c:pt idx="99">
                  <c:v>Fm</c:v>
                </c:pt>
                <c:pt idx="100">
                  <c:v>Md</c:v>
                </c:pt>
                <c:pt idx="101">
                  <c:v>No</c:v>
                </c:pt>
                <c:pt idx="102">
                  <c:v>Lr</c:v>
                </c:pt>
                <c:pt idx="103">
                  <c:v>Rf</c:v>
                </c:pt>
                <c:pt idx="104">
                  <c:v>Db</c:v>
                </c:pt>
                <c:pt idx="105">
                  <c:v>Sg</c:v>
                </c:pt>
                <c:pt idx="106">
                  <c:v>Bh</c:v>
                </c:pt>
                <c:pt idx="107">
                  <c:v>Hs</c:v>
                </c:pt>
                <c:pt idx="108">
                  <c:v>Mt</c:v>
                </c:pt>
                <c:pt idx="109">
                  <c:v>Ds</c:v>
                </c:pt>
                <c:pt idx="110">
                  <c:v>Rg</c:v>
                </c:pt>
                <c:pt idx="111">
                  <c:v>Cn</c:v>
                </c:pt>
                <c:pt idx="112">
                  <c:v>Nh</c:v>
                </c:pt>
                <c:pt idx="113">
                  <c:v>Fl</c:v>
                </c:pt>
                <c:pt idx="114">
                  <c:v>Mc</c:v>
                </c:pt>
                <c:pt idx="115">
                  <c:v>Lv</c:v>
                </c:pt>
                <c:pt idx="116">
                  <c:v>Ts</c:v>
                </c:pt>
                <c:pt idx="117">
                  <c:v>Og</c:v>
                </c:pt>
              </c:strCache>
            </c:strRef>
          </c:cat>
          <c:val>
            <c:numRef>
              <c:f>elektronegativitás!$E$2:$E$119</c:f>
              <c:numCache>
                <c:formatCode>0.00</c:formatCode>
                <c:ptCount val="118"/>
                <c:pt idx="0">
                  <c:v>2.2000000000000002</c:v>
                </c:pt>
                <c:pt idx="1">
                  <c:v>0</c:v>
                </c:pt>
                <c:pt idx="2">
                  <c:v>0.98</c:v>
                </c:pt>
                <c:pt idx="3">
                  <c:v>1.57</c:v>
                </c:pt>
                <c:pt idx="10">
                  <c:v>0.93</c:v>
                </c:pt>
                <c:pt idx="11">
                  <c:v>1.31</c:v>
                </c:pt>
                <c:pt idx="18">
                  <c:v>0.82</c:v>
                </c:pt>
                <c:pt idx="19">
                  <c:v>1</c:v>
                </c:pt>
                <c:pt idx="36">
                  <c:v>0.82</c:v>
                </c:pt>
                <c:pt idx="37">
                  <c:v>0.95</c:v>
                </c:pt>
                <c:pt idx="54">
                  <c:v>0.79</c:v>
                </c:pt>
                <c:pt idx="55">
                  <c:v>0.89</c:v>
                </c:pt>
                <c:pt idx="86">
                  <c:v>0.7</c:v>
                </c:pt>
                <c:pt idx="87">
                  <c:v>0.89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F-409E-BA1A-643CED01D921}"/>
            </c:ext>
          </c:extLst>
        </c:ser>
        <c:ser>
          <c:idx val="1"/>
          <c:order val="1"/>
          <c:tx>
            <c:strRef>
              <c:f>elektronegativitás!$F$1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elektronegativitás!$A$2:$B$119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elektronegativitás!$B$2:$B$119</c:f>
              <c:strCache>
                <c:ptCount val="11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  <c:pt idx="38">
                  <c:v>Y</c:v>
                </c:pt>
                <c:pt idx="39">
                  <c:v>Zr</c:v>
                </c:pt>
                <c:pt idx="40">
                  <c:v>Nb</c:v>
                </c:pt>
                <c:pt idx="41">
                  <c:v>Mo</c:v>
                </c:pt>
                <c:pt idx="42">
                  <c:v>Tc</c:v>
                </c:pt>
                <c:pt idx="43">
                  <c:v>Ru</c:v>
                </c:pt>
                <c:pt idx="44">
                  <c:v>Rh</c:v>
                </c:pt>
                <c:pt idx="45">
                  <c:v>Pd</c:v>
                </c:pt>
                <c:pt idx="46">
                  <c:v>Ag</c:v>
                </c:pt>
                <c:pt idx="47">
                  <c:v>Cd</c:v>
                </c:pt>
                <c:pt idx="48">
                  <c:v>In</c:v>
                </c:pt>
                <c:pt idx="49">
                  <c:v>Sn</c:v>
                </c:pt>
                <c:pt idx="50">
                  <c:v>Sb</c:v>
                </c:pt>
                <c:pt idx="51">
                  <c:v>Te</c:v>
                </c:pt>
                <c:pt idx="52">
                  <c:v>I</c:v>
                </c:pt>
                <c:pt idx="53">
                  <c:v>Xe</c:v>
                </c:pt>
                <c:pt idx="54">
                  <c:v>Cs</c:v>
                </c:pt>
                <c:pt idx="55">
                  <c:v>Ba</c:v>
                </c:pt>
                <c:pt idx="56">
                  <c:v>La</c:v>
                </c:pt>
                <c:pt idx="57">
                  <c:v>Ce</c:v>
                </c:pt>
                <c:pt idx="58">
                  <c:v>Pr</c:v>
                </c:pt>
                <c:pt idx="59">
                  <c:v>Nd</c:v>
                </c:pt>
                <c:pt idx="60">
                  <c:v>Pm</c:v>
                </c:pt>
                <c:pt idx="61">
                  <c:v>Sm</c:v>
                </c:pt>
                <c:pt idx="62">
                  <c:v>Eu</c:v>
                </c:pt>
                <c:pt idx="63">
                  <c:v>Gd</c:v>
                </c:pt>
                <c:pt idx="64">
                  <c:v>Tb</c:v>
                </c:pt>
                <c:pt idx="65">
                  <c:v>Dy</c:v>
                </c:pt>
                <c:pt idx="66">
                  <c:v>Ho</c:v>
                </c:pt>
                <c:pt idx="67">
                  <c:v>Er</c:v>
                </c:pt>
                <c:pt idx="68">
                  <c:v>Tm</c:v>
                </c:pt>
                <c:pt idx="69">
                  <c:v>Yb</c:v>
                </c:pt>
                <c:pt idx="70">
                  <c:v>Lu</c:v>
                </c:pt>
                <c:pt idx="71">
                  <c:v>Hf</c:v>
                </c:pt>
                <c:pt idx="72">
                  <c:v>Ta</c:v>
                </c:pt>
                <c:pt idx="73">
                  <c:v>W</c:v>
                </c:pt>
                <c:pt idx="74">
                  <c:v>Re</c:v>
                </c:pt>
                <c:pt idx="75">
                  <c:v>Os</c:v>
                </c:pt>
                <c:pt idx="76">
                  <c:v>Ir</c:v>
                </c:pt>
                <c:pt idx="77">
                  <c:v>Pt</c:v>
                </c:pt>
                <c:pt idx="78">
                  <c:v>Au</c:v>
                </c:pt>
                <c:pt idx="79">
                  <c:v>Hg</c:v>
                </c:pt>
                <c:pt idx="80">
                  <c:v>Tl</c:v>
                </c:pt>
                <c:pt idx="81">
                  <c:v>Pb</c:v>
                </c:pt>
                <c:pt idx="82">
                  <c:v>Bi</c:v>
                </c:pt>
                <c:pt idx="83">
                  <c:v>Po</c:v>
                </c:pt>
                <c:pt idx="84">
                  <c:v>At</c:v>
                </c:pt>
                <c:pt idx="85">
                  <c:v>Rn</c:v>
                </c:pt>
                <c:pt idx="86">
                  <c:v>Fr</c:v>
                </c:pt>
                <c:pt idx="87">
                  <c:v>Ra</c:v>
                </c:pt>
                <c:pt idx="88">
                  <c:v>Ac</c:v>
                </c:pt>
                <c:pt idx="89">
                  <c:v>Th</c:v>
                </c:pt>
                <c:pt idx="90">
                  <c:v>Pa</c:v>
                </c:pt>
                <c:pt idx="91">
                  <c:v>U</c:v>
                </c:pt>
                <c:pt idx="92">
                  <c:v>Np</c:v>
                </c:pt>
                <c:pt idx="93">
                  <c:v>Pu</c:v>
                </c:pt>
                <c:pt idx="94">
                  <c:v>Am</c:v>
                </c:pt>
                <c:pt idx="95">
                  <c:v>Cm</c:v>
                </c:pt>
                <c:pt idx="96">
                  <c:v>Bk</c:v>
                </c:pt>
                <c:pt idx="97">
                  <c:v>Cf</c:v>
                </c:pt>
                <c:pt idx="98">
                  <c:v>Es</c:v>
                </c:pt>
                <c:pt idx="99">
                  <c:v>Fm</c:v>
                </c:pt>
                <c:pt idx="100">
                  <c:v>Md</c:v>
                </c:pt>
                <c:pt idx="101">
                  <c:v>No</c:v>
                </c:pt>
                <c:pt idx="102">
                  <c:v>Lr</c:v>
                </c:pt>
                <c:pt idx="103">
                  <c:v>Rf</c:v>
                </c:pt>
                <c:pt idx="104">
                  <c:v>Db</c:v>
                </c:pt>
                <c:pt idx="105">
                  <c:v>Sg</c:v>
                </c:pt>
                <c:pt idx="106">
                  <c:v>Bh</c:v>
                </c:pt>
                <c:pt idx="107">
                  <c:v>Hs</c:v>
                </c:pt>
                <c:pt idx="108">
                  <c:v>Mt</c:v>
                </c:pt>
                <c:pt idx="109">
                  <c:v>Ds</c:v>
                </c:pt>
                <c:pt idx="110">
                  <c:v>Rg</c:v>
                </c:pt>
                <c:pt idx="111">
                  <c:v>Cn</c:v>
                </c:pt>
                <c:pt idx="112">
                  <c:v>Nh</c:v>
                </c:pt>
                <c:pt idx="113">
                  <c:v>Fl</c:v>
                </c:pt>
                <c:pt idx="114">
                  <c:v>Mc</c:v>
                </c:pt>
                <c:pt idx="115">
                  <c:v>Lv</c:v>
                </c:pt>
                <c:pt idx="116">
                  <c:v>Ts</c:v>
                </c:pt>
                <c:pt idx="117">
                  <c:v>Og</c:v>
                </c:pt>
              </c:strCache>
            </c:strRef>
          </c:cat>
          <c:val>
            <c:numRef>
              <c:f>elektronegativitás!$F$2:$F$119</c:f>
              <c:numCache>
                <c:formatCode>0.00</c:formatCode>
                <c:ptCount val="118"/>
                <c:pt idx="4">
                  <c:v>2.04</c:v>
                </c:pt>
                <c:pt idx="5">
                  <c:v>2.5499999999999998</c:v>
                </c:pt>
                <c:pt idx="6">
                  <c:v>3.04</c:v>
                </c:pt>
                <c:pt idx="7">
                  <c:v>3.44</c:v>
                </c:pt>
                <c:pt idx="8">
                  <c:v>3.98</c:v>
                </c:pt>
                <c:pt idx="9">
                  <c:v>0</c:v>
                </c:pt>
                <c:pt idx="12">
                  <c:v>1.61</c:v>
                </c:pt>
                <c:pt idx="13">
                  <c:v>1.9</c:v>
                </c:pt>
                <c:pt idx="14">
                  <c:v>2.19</c:v>
                </c:pt>
                <c:pt idx="15">
                  <c:v>2.58</c:v>
                </c:pt>
                <c:pt idx="16">
                  <c:v>3.16</c:v>
                </c:pt>
                <c:pt idx="17">
                  <c:v>0</c:v>
                </c:pt>
                <c:pt idx="30">
                  <c:v>1.81</c:v>
                </c:pt>
                <c:pt idx="31">
                  <c:v>2.0099999999999998</c:v>
                </c:pt>
                <c:pt idx="32">
                  <c:v>2.1800000000000002</c:v>
                </c:pt>
                <c:pt idx="33">
                  <c:v>2.5499999999999998</c:v>
                </c:pt>
                <c:pt idx="34">
                  <c:v>2.96</c:v>
                </c:pt>
                <c:pt idx="35">
                  <c:v>3</c:v>
                </c:pt>
                <c:pt idx="48">
                  <c:v>1.78</c:v>
                </c:pt>
                <c:pt idx="49">
                  <c:v>1.96</c:v>
                </c:pt>
                <c:pt idx="50">
                  <c:v>2.0499999999999998</c:v>
                </c:pt>
                <c:pt idx="51">
                  <c:v>2.1</c:v>
                </c:pt>
                <c:pt idx="52">
                  <c:v>2.66</c:v>
                </c:pt>
                <c:pt idx="53">
                  <c:v>2.6</c:v>
                </c:pt>
                <c:pt idx="80">
                  <c:v>1.62</c:v>
                </c:pt>
                <c:pt idx="81">
                  <c:v>2.33</c:v>
                </c:pt>
                <c:pt idx="82">
                  <c:v>2.02</c:v>
                </c:pt>
                <c:pt idx="83">
                  <c:v>2</c:v>
                </c:pt>
                <c:pt idx="84">
                  <c:v>2.2000000000000002</c:v>
                </c:pt>
                <c:pt idx="85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F-409E-BA1A-643CED01D921}"/>
            </c:ext>
          </c:extLst>
        </c:ser>
        <c:ser>
          <c:idx val="2"/>
          <c:order val="2"/>
          <c:tx>
            <c:strRef>
              <c:f>elektronegativitás!$G$1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elektronegativitás!$A$2:$B$119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elektronegativitás!$B$2:$B$119</c:f>
              <c:strCache>
                <c:ptCount val="11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  <c:pt idx="38">
                  <c:v>Y</c:v>
                </c:pt>
                <c:pt idx="39">
                  <c:v>Zr</c:v>
                </c:pt>
                <c:pt idx="40">
                  <c:v>Nb</c:v>
                </c:pt>
                <c:pt idx="41">
                  <c:v>Mo</c:v>
                </c:pt>
                <c:pt idx="42">
                  <c:v>Tc</c:v>
                </c:pt>
                <c:pt idx="43">
                  <c:v>Ru</c:v>
                </c:pt>
                <c:pt idx="44">
                  <c:v>Rh</c:v>
                </c:pt>
                <c:pt idx="45">
                  <c:v>Pd</c:v>
                </c:pt>
                <c:pt idx="46">
                  <c:v>Ag</c:v>
                </c:pt>
                <c:pt idx="47">
                  <c:v>Cd</c:v>
                </c:pt>
                <c:pt idx="48">
                  <c:v>In</c:v>
                </c:pt>
                <c:pt idx="49">
                  <c:v>Sn</c:v>
                </c:pt>
                <c:pt idx="50">
                  <c:v>Sb</c:v>
                </c:pt>
                <c:pt idx="51">
                  <c:v>Te</c:v>
                </c:pt>
                <c:pt idx="52">
                  <c:v>I</c:v>
                </c:pt>
                <c:pt idx="53">
                  <c:v>Xe</c:v>
                </c:pt>
                <c:pt idx="54">
                  <c:v>Cs</c:v>
                </c:pt>
                <c:pt idx="55">
                  <c:v>Ba</c:v>
                </c:pt>
                <c:pt idx="56">
                  <c:v>La</c:v>
                </c:pt>
                <c:pt idx="57">
                  <c:v>Ce</c:v>
                </c:pt>
                <c:pt idx="58">
                  <c:v>Pr</c:v>
                </c:pt>
                <c:pt idx="59">
                  <c:v>Nd</c:v>
                </c:pt>
                <c:pt idx="60">
                  <c:v>Pm</c:v>
                </c:pt>
                <c:pt idx="61">
                  <c:v>Sm</c:v>
                </c:pt>
                <c:pt idx="62">
                  <c:v>Eu</c:v>
                </c:pt>
                <c:pt idx="63">
                  <c:v>Gd</c:v>
                </c:pt>
                <c:pt idx="64">
                  <c:v>Tb</c:v>
                </c:pt>
                <c:pt idx="65">
                  <c:v>Dy</c:v>
                </c:pt>
                <c:pt idx="66">
                  <c:v>Ho</c:v>
                </c:pt>
                <c:pt idx="67">
                  <c:v>Er</c:v>
                </c:pt>
                <c:pt idx="68">
                  <c:v>Tm</c:v>
                </c:pt>
                <c:pt idx="69">
                  <c:v>Yb</c:v>
                </c:pt>
                <c:pt idx="70">
                  <c:v>Lu</c:v>
                </c:pt>
                <c:pt idx="71">
                  <c:v>Hf</c:v>
                </c:pt>
                <c:pt idx="72">
                  <c:v>Ta</c:v>
                </c:pt>
                <c:pt idx="73">
                  <c:v>W</c:v>
                </c:pt>
                <c:pt idx="74">
                  <c:v>Re</c:v>
                </c:pt>
                <c:pt idx="75">
                  <c:v>Os</c:v>
                </c:pt>
                <c:pt idx="76">
                  <c:v>Ir</c:v>
                </c:pt>
                <c:pt idx="77">
                  <c:v>Pt</c:v>
                </c:pt>
                <c:pt idx="78">
                  <c:v>Au</c:v>
                </c:pt>
                <c:pt idx="79">
                  <c:v>Hg</c:v>
                </c:pt>
                <c:pt idx="80">
                  <c:v>Tl</c:v>
                </c:pt>
                <c:pt idx="81">
                  <c:v>Pb</c:v>
                </c:pt>
                <c:pt idx="82">
                  <c:v>Bi</c:v>
                </c:pt>
                <c:pt idx="83">
                  <c:v>Po</c:v>
                </c:pt>
                <c:pt idx="84">
                  <c:v>At</c:v>
                </c:pt>
                <c:pt idx="85">
                  <c:v>Rn</c:v>
                </c:pt>
                <c:pt idx="86">
                  <c:v>Fr</c:v>
                </c:pt>
                <c:pt idx="87">
                  <c:v>Ra</c:v>
                </c:pt>
                <c:pt idx="88">
                  <c:v>Ac</c:v>
                </c:pt>
                <c:pt idx="89">
                  <c:v>Th</c:v>
                </c:pt>
                <c:pt idx="90">
                  <c:v>Pa</c:v>
                </c:pt>
                <c:pt idx="91">
                  <c:v>U</c:v>
                </c:pt>
                <c:pt idx="92">
                  <c:v>Np</c:v>
                </c:pt>
                <c:pt idx="93">
                  <c:v>Pu</c:v>
                </c:pt>
                <c:pt idx="94">
                  <c:v>Am</c:v>
                </c:pt>
                <c:pt idx="95">
                  <c:v>Cm</c:v>
                </c:pt>
                <c:pt idx="96">
                  <c:v>Bk</c:v>
                </c:pt>
                <c:pt idx="97">
                  <c:v>Cf</c:v>
                </c:pt>
                <c:pt idx="98">
                  <c:v>Es</c:v>
                </c:pt>
                <c:pt idx="99">
                  <c:v>Fm</c:v>
                </c:pt>
                <c:pt idx="100">
                  <c:v>Md</c:v>
                </c:pt>
                <c:pt idx="101">
                  <c:v>No</c:v>
                </c:pt>
                <c:pt idx="102">
                  <c:v>Lr</c:v>
                </c:pt>
                <c:pt idx="103">
                  <c:v>Rf</c:v>
                </c:pt>
                <c:pt idx="104">
                  <c:v>Db</c:v>
                </c:pt>
                <c:pt idx="105">
                  <c:v>Sg</c:v>
                </c:pt>
                <c:pt idx="106">
                  <c:v>Bh</c:v>
                </c:pt>
                <c:pt idx="107">
                  <c:v>Hs</c:v>
                </c:pt>
                <c:pt idx="108">
                  <c:v>Mt</c:v>
                </c:pt>
                <c:pt idx="109">
                  <c:v>Ds</c:v>
                </c:pt>
                <c:pt idx="110">
                  <c:v>Rg</c:v>
                </c:pt>
                <c:pt idx="111">
                  <c:v>Cn</c:v>
                </c:pt>
                <c:pt idx="112">
                  <c:v>Nh</c:v>
                </c:pt>
                <c:pt idx="113">
                  <c:v>Fl</c:v>
                </c:pt>
                <c:pt idx="114">
                  <c:v>Mc</c:v>
                </c:pt>
                <c:pt idx="115">
                  <c:v>Lv</c:v>
                </c:pt>
                <c:pt idx="116">
                  <c:v>Ts</c:v>
                </c:pt>
                <c:pt idx="117">
                  <c:v>Og</c:v>
                </c:pt>
              </c:strCache>
            </c:strRef>
          </c:cat>
          <c:val>
            <c:numRef>
              <c:f>elektronegativitás!$G$2:$G$119</c:f>
              <c:numCache>
                <c:formatCode>0.00</c:formatCode>
                <c:ptCount val="118"/>
                <c:pt idx="20">
                  <c:v>1.36</c:v>
                </c:pt>
                <c:pt idx="21">
                  <c:v>1.54</c:v>
                </c:pt>
                <c:pt idx="22">
                  <c:v>1.63</c:v>
                </c:pt>
                <c:pt idx="23">
                  <c:v>1.66</c:v>
                </c:pt>
                <c:pt idx="24">
                  <c:v>1.55</c:v>
                </c:pt>
                <c:pt idx="25">
                  <c:v>1.83</c:v>
                </c:pt>
                <c:pt idx="26">
                  <c:v>1.88</c:v>
                </c:pt>
                <c:pt idx="27">
                  <c:v>1.91</c:v>
                </c:pt>
                <c:pt idx="28">
                  <c:v>1.9</c:v>
                </c:pt>
                <c:pt idx="29">
                  <c:v>1.65</c:v>
                </c:pt>
                <c:pt idx="38">
                  <c:v>1.22</c:v>
                </c:pt>
                <c:pt idx="39">
                  <c:v>1.33</c:v>
                </c:pt>
                <c:pt idx="40">
                  <c:v>1.6</c:v>
                </c:pt>
                <c:pt idx="41">
                  <c:v>2.16</c:v>
                </c:pt>
                <c:pt idx="42">
                  <c:v>1.9</c:v>
                </c:pt>
                <c:pt idx="43">
                  <c:v>2.2000000000000002</c:v>
                </c:pt>
                <c:pt idx="44">
                  <c:v>2.2799999999999998</c:v>
                </c:pt>
                <c:pt idx="45">
                  <c:v>2.2000000000000002</c:v>
                </c:pt>
                <c:pt idx="46">
                  <c:v>1.93</c:v>
                </c:pt>
                <c:pt idx="47">
                  <c:v>1.69</c:v>
                </c:pt>
                <c:pt idx="70">
                  <c:v>1.27</c:v>
                </c:pt>
                <c:pt idx="71">
                  <c:v>1.3</c:v>
                </c:pt>
                <c:pt idx="72">
                  <c:v>1.5</c:v>
                </c:pt>
                <c:pt idx="73">
                  <c:v>2.36</c:v>
                </c:pt>
                <c:pt idx="74">
                  <c:v>1.9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2.2799999999999998</c:v>
                </c:pt>
                <c:pt idx="78">
                  <c:v>2.54</c:v>
                </c:pt>
                <c:pt idx="79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FF-409E-BA1A-643CED01D921}"/>
            </c:ext>
          </c:extLst>
        </c:ser>
        <c:ser>
          <c:idx val="3"/>
          <c:order val="3"/>
          <c:tx>
            <c:strRef>
              <c:f>elektronegativitás!$H$1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elektronegativitás!$A$2:$B$119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elektronegativitás!$B$2:$B$119</c:f>
              <c:strCache>
                <c:ptCount val="11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  <c:pt idx="38">
                  <c:v>Y</c:v>
                </c:pt>
                <c:pt idx="39">
                  <c:v>Zr</c:v>
                </c:pt>
                <c:pt idx="40">
                  <c:v>Nb</c:v>
                </c:pt>
                <c:pt idx="41">
                  <c:v>Mo</c:v>
                </c:pt>
                <c:pt idx="42">
                  <c:v>Tc</c:v>
                </c:pt>
                <c:pt idx="43">
                  <c:v>Ru</c:v>
                </c:pt>
                <c:pt idx="44">
                  <c:v>Rh</c:v>
                </c:pt>
                <c:pt idx="45">
                  <c:v>Pd</c:v>
                </c:pt>
                <c:pt idx="46">
                  <c:v>Ag</c:v>
                </c:pt>
                <c:pt idx="47">
                  <c:v>Cd</c:v>
                </c:pt>
                <c:pt idx="48">
                  <c:v>In</c:v>
                </c:pt>
                <c:pt idx="49">
                  <c:v>Sn</c:v>
                </c:pt>
                <c:pt idx="50">
                  <c:v>Sb</c:v>
                </c:pt>
                <c:pt idx="51">
                  <c:v>Te</c:v>
                </c:pt>
                <c:pt idx="52">
                  <c:v>I</c:v>
                </c:pt>
                <c:pt idx="53">
                  <c:v>Xe</c:v>
                </c:pt>
                <c:pt idx="54">
                  <c:v>Cs</c:v>
                </c:pt>
                <c:pt idx="55">
                  <c:v>Ba</c:v>
                </c:pt>
                <c:pt idx="56">
                  <c:v>La</c:v>
                </c:pt>
                <c:pt idx="57">
                  <c:v>Ce</c:v>
                </c:pt>
                <c:pt idx="58">
                  <c:v>Pr</c:v>
                </c:pt>
                <c:pt idx="59">
                  <c:v>Nd</c:v>
                </c:pt>
                <c:pt idx="60">
                  <c:v>Pm</c:v>
                </c:pt>
                <c:pt idx="61">
                  <c:v>Sm</c:v>
                </c:pt>
                <c:pt idx="62">
                  <c:v>Eu</c:v>
                </c:pt>
                <c:pt idx="63">
                  <c:v>Gd</c:v>
                </c:pt>
                <c:pt idx="64">
                  <c:v>Tb</c:v>
                </c:pt>
                <c:pt idx="65">
                  <c:v>Dy</c:v>
                </c:pt>
                <c:pt idx="66">
                  <c:v>Ho</c:v>
                </c:pt>
                <c:pt idx="67">
                  <c:v>Er</c:v>
                </c:pt>
                <c:pt idx="68">
                  <c:v>Tm</c:v>
                </c:pt>
                <c:pt idx="69">
                  <c:v>Yb</c:v>
                </c:pt>
                <c:pt idx="70">
                  <c:v>Lu</c:v>
                </c:pt>
                <c:pt idx="71">
                  <c:v>Hf</c:v>
                </c:pt>
                <c:pt idx="72">
                  <c:v>Ta</c:v>
                </c:pt>
                <c:pt idx="73">
                  <c:v>W</c:v>
                </c:pt>
                <c:pt idx="74">
                  <c:v>Re</c:v>
                </c:pt>
                <c:pt idx="75">
                  <c:v>Os</c:v>
                </c:pt>
                <c:pt idx="76">
                  <c:v>Ir</c:v>
                </c:pt>
                <c:pt idx="77">
                  <c:v>Pt</c:v>
                </c:pt>
                <c:pt idx="78">
                  <c:v>Au</c:v>
                </c:pt>
                <c:pt idx="79">
                  <c:v>Hg</c:v>
                </c:pt>
                <c:pt idx="80">
                  <c:v>Tl</c:v>
                </c:pt>
                <c:pt idx="81">
                  <c:v>Pb</c:v>
                </c:pt>
                <c:pt idx="82">
                  <c:v>Bi</c:v>
                </c:pt>
                <c:pt idx="83">
                  <c:v>Po</c:v>
                </c:pt>
                <c:pt idx="84">
                  <c:v>At</c:v>
                </c:pt>
                <c:pt idx="85">
                  <c:v>Rn</c:v>
                </c:pt>
                <c:pt idx="86">
                  <c:v>Fr</c:v>
                </c:pt>
                <c:pt idx="87">
                  <c:v>Ra</c:v>
                </c:pt>
                <c:pt idx="88">
                  <c:v>Ac</c:v>
                </c:pt>
                <c:pt idx="89">
                  <c:v>Th</c:v>
                </c:pt>
                <c:pt idx="90">
                  <c:v>Pa</c:v>
                </c:pt>
                <c:pt idx="91">
                  <c:v>U</c:v>
                </c:pt>
                <c:pt idx="92">
                  <c:v>Np</c:v>
                </c:pt>
                <c:pt idx="93">
                  <c:v>Pu</c:v>
                </c:pt>
                <c:pt idx="94">
                  <c:v>Am</c:v>
                </c:pt>
                <c:pt idx="95">
                  <c:v>Cm</c:v>
                </c:pt>
                <c:pt idx="96">
                  <c:v>Bk</c:v>
                </c:pt>
                <c:pt idx="97">
                  <c:v>Cf</c:v>
                </c:pt>
                <c:pt idx="98">
                  <c:v>Es</c:v>
                </c:pt>
                <c:pt idx="99">
                  <c:v>Fm</c:v>
                </c:pt>
                <c:pt idx="100">
                  <c:v>Md</c:v>
                </c:pt>
                <c:pt idx="101">
                  <c:v>No</c:v>
                </c:pt>
                <c:pt idx="102">
                  <c:v>Lr</c:v>
                </c:pt>
                <c:pt idx="103">
                  <c:v>Rf</c:v>
                </c:pt>
                <c:pt idx="104">
                  <c:v>Db</c:v>
                </c:pt>
                <c:pt idx="105">
                  <c:v>Sg</c:v>
                </c:pt>
                <c:pt idx="106">
                  <c:v>Bh</c:v>
                </c:pt>
                <c:pt idx="107">
                  <c:v>Hs</c:v>
                </c:pt>
                <c:pt idx="108">
                  <c:v>Mt</c:v>
                </c:pt>
                <c:pt idx="109">
                  <c:v>Ds</c:v>
                </c:pt>
                <c:pt idx="110">
                  <c:v>Rg</c:v>
                </c:pt>
                <c:pt idx="111">
                  <c:v>Cn</c:v>
                </c:pt>
                <c:pt idx="112">
                  <c:v>Nh</c:v>
                </c:pt>
                <c:pt idx="113">
                  <c:v>Fl</c:v>
                </c:pt>
                <c:pt idx="114">
                  <c:v>Mc</c:v>
                </c:pt>
                <c:pt idx="115">
                  <c:v>Lv</c:v>
                </c:pt>
                <c:pt idx="116">
                  <c:v>Ts</c:v>
                </c:pt>
                <c:pt idx="117">
                  <c:v>Og</c:v>
                </c:pt>
              </c:strCache>
            </c:strRef>
          </c:cat>
          <c:val>
            <c:numRef>
              <c:f>elektronegativitás!$H$2:$H$119</c:f>
              <c:numCache>
                <c:formatCode>0.00</c:formatCode>
                <c:ptCount val="118"/>
                <c:pt idx="56">
                  <c:v>1.1000000000000001</c:v>
                </c:pt>
                <c:pt idx="57">
                  <c:v>1.1200000000000001</c:v>
                </c:pt>
                <c:pt idx="58">
                  <c:v>1.1299999999999999</c:v>
                </c:pt>
                <c:pt idx="59">
                  <c:v>1.1399999999999999</c:v>
                </c:pt>
                <c:pt idx="60">
                  <c:v>1.1299999999999999</c:v>
                </c:pt>
                <c:pt idx="61">
                  <c:v>1.17</c:v>
                </c:pt>
                <c:pt idx="62">
                  <c:v>1.2</c:v>
                </c:pt>
                <c:pt idx="63">
                  <c:v>1.2</c:v>
                </c:pt>
                <c:pt idx="64">
                  <c:v>1.22</c:v>
                </c:pt>
                <c:pt idx="65">
                  <c:v>1.23</c:v>
                </c:pt>
                <c:pt idx="66">
                  <c:v>1.24</c:v>
                </c:pt>
                <c:pt idx="67">
                  <c:v>1.24</c:v>
                </c:pt>
                <c:pt idx="68">
                  <c:v>1.25</c:v>
                </c:pt>
                <c:pt idx="69">
                  <c:v>1.1000000000000001</c:v>
                </c:pt>
                <c:pt idx="88">
                  <c:v>1.1000000000000001</c:v>
                </c:pt>
                <c:pt idx="89">
                  <c:v>1.3</c:v>
                </c:pt>
                <c:pt idx="90">
                  <c:v>1.5</c:v>
                </c:pt>
                <c:pt idx="91">
                  <c:v>1.38</c:v>
                </c:pt>
                <c:pt idx="92">
                  <c:v>1.36</c:v>
                </c:pt>
                <c:pt idx="93">
                  <c:v>1.28</c:v>
                </c:pt>
                <c:pt idx="94">
                  <c:v>1.3</c:v>
                </c:pt>
                <c:pt idx="95">
                  <c:v>1.3</c:v>
                </c:pt>
                <c:pt idx="96">
                  <c:v>1.3</c:v>
                </c:pt>
                <c:pt idx="97">
                  <c:v>1.3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FF-409E-BA1A-643CED01D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379983"/>
        <c:axId val="845094351"/>
      </c:lineChart>
      <c:catAx>
        <c:axId val="8443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45094351"/>
        <c:crosses val="autoZero"/>
        <c:auto val="1"/>
        <c:lblAlgn val="ctr"/>
        <c:lblOffset val="100"/>
        <c:noMultiLvlLbl val="0"/>
      </c:catAx>
      <c:valAx>
        <c:axId val="84509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4437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elektronegativitás az első néhány</a:t>
            </a:r>
            <a:r>
              <a:rPr lang="hu-HU" baseline="0"/>
              <a:t> </a:t>
            </a:r>
            <a:r>
              <a:rPr lang="hu-HU"/>
              <a:t>periódusban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elektronegativitás!$E$1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D7C661C-75C7-4B45-AA57-E78FC373D3FF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DEF-41D0-953F-C63CE72281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FEDB2C-4236-4C3E-9DB2-ED8814A290F2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DEF-41D0-953F-C63CE72281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39F28AE-D584-4622-9BAA-6C7682E7A63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DEF-41D0-953F-C63CE72281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8AFB7D-0CE5-4E2D-9BF0-49ACAE69668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DEF-41D0-953F-C63CE72281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DEF-41D0-953F-C63CE72281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DEF-41D0-953F-C63CE72281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DEF-41D0-953F-C63CE72281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DEF-41D0-953F-C63CE72281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DEF-41D0-953F-C63CE72281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DEF-41D0-953F-C63CE72281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B872092-592A-4900-AC7D-9AA4EDF662AA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DEF-41D0-953F-C63CE72281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267B7B5-081B-4D85-AD86-BA4F340A89F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DEF-41D0-953F-C63CE72281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DEF-41D0-953F-C63CE72281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DEF-41D0-953F-C63CE72281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DEF-41D0-953F-C63CE72281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DEF-41D0-953F-C63CE72281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DEF-41D0-953F-C63CE72281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DEF-41D0-953F-C63CE72281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37F8B61-1B61-48E1-8A9E-2922B7D9797F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DEF-41D0-953F-C63CE72281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7BE50DD-033F-4424-877D-6FE38D63205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DEF-41D0-953F-C63CE72281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DEF-41D0-953F-C63CE72281C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DEF-41D0-953F-C63CE72281C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DEF-41D0-953F-C63CE72281C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DEF-41D0-953F-C63CE72281C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DEF-41D0-953F-C63CE72281C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DEF-41D0-953F-C63CE72281C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DEF-41D0-953F-C63CE72281C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DEF-41D0-953F-C63CE72281C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DEF-41D0-953F-C63CE72281C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DEF-41D0-953F-C63CE72281C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DEF-41D0-953F-C63CE72281C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DEF-41D0-953F-C63CE72281C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DEF-41D0-953F-C63CE72281C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DEF-41D0-953F-C63CE72281C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DEF-41D0-953F-C63CE72281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elektronegativitás!$A$2:$B$119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elektronegativitás!$B$2:$B$36</c:f>
              <c:strCache>
                <c:ptCount val="35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elektronegativitás!$E$2:$E$119</c15:sqref>
                  </c15:fullRef>
                </c:ext>
              </c:extLst>
              <c:f>elektronegativitás!$E$2:$E$36</c:f>
              <c:numCache>
                <c:formatCode>0.00</c:formatCode>
                <c:ptCount val="35"/>
                <c:pt idx="0">
                  <c:v>2.2000000000000002</c:v>
                </c:pt>
                <c:pt idx="1">
                  <c:v>0</c:v>
                </c:pt>
                <c:pt idx="2">
                  <c:v>0.98</c:v>
                </c:pt>
                <c:pt idx="3">
                  <c:v>1.57</c:v>
                </c:pt>
                <c:pt idx="10">
                  <c:v>0.93</c:v>
                </c:pt>
                <c:pt idx="11">
                  <c:v>1.31</c:v>
                </c:pt>
                <c:pt idx="18">
                  <c:v>0.82</c:v>
                </c:pt>
                <c:pt idx="19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elektronegativitás!$I$2:$I$36</c15:f>
                <c15:dlblRangeCache>
                  <c:ptCount val="35"/>
                  <c:pt idx="0">
                    <c:v>H</c:v>
                  </c:pt>
                  <c:pt idx="1">
                    <c:v>He</c:v>
                  </c:pt>
                  <c:pt idx="8">
                    <c:v>F</c:v>
                  </c:pt>
                  <c:pt idx="9">
                    <c:v>Ne</c:v>
                  </c:pt>
                  <c:pt idx="16">
                    <c:v>Cl</c:v>
                  </c:pt>
                  <c:pt idx="17">
                    <c:v>Ar</c:v>
                  </c:pt>
                  <c:pt idx="24">
                    <c:v>Mn</c:v>
                  </c:pt>
                  <c:pt idx="29">
                    <c:v>Zn</c:v>
                  </c:pt>
                  <c:pt idx="34">
                    <c:v>Br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6FF-409E-BA1A-643CED01D921}"/>
            </c:ext>
          </c:extLst>
        </c:ser>
        <c:ser>
          <c:idx val="1"/>
          <c:order val="1"/>
          <c:tx>
            <c:strRef>
              <c:f>elektronegativitás!$F$1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7DEF-41D0-953F-C63CE72281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7DEF-41D0-953F-C63CE72281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7DEF-41D0-953F-C63CE72281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7DEF-41D0-953F-C63CE72281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A22C38B-BF42-45EB-8346-67468DA36D0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0-7DEF-41D0-953F-C63CE72281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89D8ABC-25FF-4CC1-A095-A9C6ECB3B11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1-7DEF-41D0-953F-C63CE72281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D0F07ED-FDF3-42E6-B7CC-9D4798899791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2-7DEF-41D0-953F-C63CE72281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3B265CB-78E4-4E2D-BCE4-50F9E64D93D2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3-7DEF-41D0-953F-C63CE72281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84ABB86-5A44-4A1C-B611-5E205857575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4-7DEF-41D0-953F-C63CE72281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8FEDD36-D270-45D8-BEBC-B22F8DE06AE1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5-7DEF-41D0-953F-C63CE72281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7DEF-41D0-953F-C63CE72281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7DEF-41D0-953F-C63CE72281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F7D6909-5C2F-41EB-B9B6-DCA431905F8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8-7DEF-41D0-953F-C63CE72281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F693E3D-CCDC-4916-A158-FD54B64E9D8A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9-7DEF-41D0-953F-C63CE72281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3455782-DD41-4A96-93E8-2C3BDA968F7B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A-7DEF-41D0-953F-C63CE72281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FB6650E-5C45-4E03-9533-B7210A4BDF6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B-7DEF-41D0-953F-C63CE72281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892C1E0-FC44-406D-8EF1-FC41DF0474C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C-7DEF-41D0-953F-C63CE72281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8FB0672-F863-4C7C-BE44-50E1977A534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FD-7DEF-41D0-953F-C63CE72281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7DEF-41D0-953F-C63CE72281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7DEF-41D0-953F-C63CE72281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7DEF-41D0-953F-C63CE72281C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7DEF-41D0-953F-C63CE72281C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7DEF-41D0-953F-C63CE72281C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7DEF-41D0-953F-C63CE72281C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7DEF-41D0-953F-C63CE72281C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7DEF-41D0-953F-C63CE72281C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7DEF-41D0-953F-C63CE72281C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7DEF-41D0-953F-C63CE72281C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7DEF-41D0-953F-C63CE72281C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7DEF-41D0-953F-C63CE72281C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6AFB80D-7B1D-4EDE-B6C9-F2A313227F9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A-7DEF-41D0-953F-C63CE72281C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716E2AB0-9BE1-490C-AC8B-44560ED3015B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B-7DEF-41D0-953F-C63CE72281C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C4B652D6-EC25-4FBD-8553-FED99536C1AF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C-7DEF-41D0-953F-C63CE72281C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76BEC4C-D144-4C70-9DD8-7E5AEC5B2B3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D-7DEF-41D0-953F-C63CE72281C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7F1DD88-66AE-4BFB-A637-5FE608A344D8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E-7DEF-41D0-953F-C63CE72281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elektronegativitás!$A$2:$B$119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elektronegativitás!$B$2:$B$36</c:f>
              <c:strCache>
                <c:ptCount val="35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elektronegativitás!$F$2:$F$119</c15:sqref>
                  </c15:fullRef>
                </c:ext>
              </c:extLst>
              <c:f>elektronegativitás!$F$2:$F$36</c:f>
              <c:numCache>
                <c:formatCode>0.00</c:formatCode>
                <c:ptCount val="35"/>
                <c:pt idx="4">
                  <c:v>2.04</c:v>
                </c:pt>
                <c:pt idx="5">
                  <c:v>2.5499999999999998</c:v>
                </c:pt>
                <c:pt idx="6">
                  <c:v>3.04</c:v>
                </c:pt>
                <c:pt idx="7">
                  <c:v>3.44</c:v>
                </c:pt>
                <c:pt idx="8">
                  <c:v>3.98</c:v>
                </c:pt>
                <c:pt idx="9">
                  <c:v>0</c:v>
                </c:pt>
                <c:pt idx="12">
                  <c:v>1.61</c:v>
                </c:pt>
                <c:pt idx="13">
                  <c:v>1.9</c:v>
                </c:pt>
                <c:pt idx="14">
                  <c:v>2.19</c:v>
                </c:pt>
                <c:pt idx="15">
                  <c:v>2.58</c:v>
                </c:pt>
                <c:pt idx="16">
                  <c:v>3.16</c:v>
                </c:pt>
                <c:pt idx="17">
                  <c:v>0</c:v>
                </c:pt>
                <c:pt idx="30">
                  <c:v>1.81</c:v>
                </c:pt>
                <c:pt idx="31">
                  <c:v>2.0099999999999998</c:v>
                </c:pt>
                <c:pt idx="32">
                  <c:v>2.1800000000000002</c:v>
                </c:pt>
                <c:pt idx="33">
                  <c:v>2.5499999999999998</c:v>
                </c:pt>
                <c:pt idx="34">
                  <c:v>2.96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elektronegativitás!$I$2:$I$36</c15:f>
                <c15:dlblRangeCache>
                  <c:ptCount val="35"/>
                  <c:pt idx="0">
                    <c:v>H</c:v>
                  </c:pt>
                  <c:pt idx="1">
                    <c:v>He</c:v>
                  </c:pt>
                  <c:pt idx="8">
                    <c:v>F</c:v>
                  </c:pt>
                  <c:pt idx="9">
                    <c:v>Ne</c:v>
                  </c:pt>
                  <c:pt idx="16">
                    <c:v>Cl</c:v>
                  </c:pt>
                  <c:pt idx="17">
                    <c:v>Ar</c:v>
                  </c:pt>
                  <c:pt idx="24">
                    <c:v>Mn</c:v>
                  </c:pt>
                  <c:pt idx="29">
                    <c:v>Zn</c:v>
                  </c:pt>
                  <c:pt idx="34">
                    <c:v>Br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6FF-409E-BA1A-643CED01D921}"/>
            </c:ext>
          </c:extLst>
        </c:ser>
        <c:ser>
          <c:idx val="2"/>
          <c:order val="2"/>
          <c:tx>
            <c:strRef>
              <c:f>elektronegativitás!$G$1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7DEF-41D0-953F-C63CE72281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7DEF-41D0-953F-C63CE72281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7DEF-41D0-953F-C63CE72281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7DEF-41D0-953F-C63CE72281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7DEF-41D0-953F-C63CE72281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7DEF-41D0-953F-C63CE72281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DEF-41D0-953F-C63CE72281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DEF-41D0-953F-C63CE72281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7DEF-41D0-953F-C63CE72281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7DEF-41D0-953F-C63CE72281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7DEF-41D0-953F-C63CE72281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7DEF-41D0-953F-C63CE72281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7DEF-41D0-953F-C63CE72281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7DEF-41D0-953F-C63CE72281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7DEF-41D0-953F-C63CE72281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7DEF-41D0-953F-C63CE72281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7DEF-41D0-953F-C63CE72281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7DEF-41D0-953F-C63CE72281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7DEF-41D0-953F-C63CE72281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7DEF-41D0-953F-C63CE72281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6E1E399-D144-4B96-9BD1-00350B0C39E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7DEF-41D0-953F-C63CE72281C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B4C42BB-194E-4AE8-B1EF-0766A379938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B-7DEF-41D0-953F-C63CE72281C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493C76F-E171-4AE1-9514-7036EE9BF61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7DEF-41D0-953F-C63CE72281C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AAA755B-5D17-4E12-B36B-C1AF471A9DF5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D-7DEF-41D0-953F-C63CE72281C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A8DCED7-4A9F-49FD-8545-EBC84CD22E7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7DEF-41D0-953F-C63CE72281C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4EEE277-D08D-4C3B-9EC9-56D2FB5F3A5F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7DEF-41D0-953F-C63CE72281C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E956708-7295-473E-B976-87A3DAA3648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7DEF-41D0-953F-C63CE72281C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97C18F6-C606-4EBD-9023-03DFE63CE6C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7DEF-41D0-953F-C63CE72281C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4EA74C4-454E-42D9-9288-4D4957F50A7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2-7DEF-41D0-953F-C63CE72281C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708074B-4A3A-4103-8343-531B70E4BBD4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3-7DEF-41D0-953F-C63CE72281C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7DEF-41D0-953F-C63CE72281C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7DEF-41D0-953F-C63CE72281C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7DEF-41D0-953F-C63CE72281C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7DEF-41D0-953F-C63CE72281C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7DEF-41D0-953F-C63CE72281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elektronegativitás!$A$2:$B$119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elektronegativitás!$B$2:$B$36</c:f>
              <c:strCache>
                <c:ptCount val="35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elektronegativitás!$G$2:$G$119</c15:sqref>
                  </c15:fullRef>
                </c:ext>
              </c:extLst>
              <c:f>elektronegativitás!$G$2:$G$36</c:f>
              <c:numCache>
                <c:formatCode>0.00</c:formatCode>
                <c:ptCount val="35"/>
                <c:pt idx="20">
                  <c:v>1.36</c:v>
                </c:pt>
                <c:pt idx="21">
                  <c:v>1.54</c:v>
                </c:pt>
                <c:pt idx="22">
                  <c:v>1.63</c:v>
                </c:pt>
                <c:pt idx="23">
                  <c:v>1.66</c:v>
                </c:pt>
                <c:pt idx="24">
                  <c:v>1.55</c:v>
                </c:pt>
                <c:pt idx="25">
                  <c:v>1.83</c:v>
                </c:pt>
                <c:pt idx="26">
                  <c:v>1.88</c:v>
                </c:pt>
                <c:pt idx="27">
                  <c:v>1.91</c:v>
                </c:pt>
                <c:pt idx="28">
                  <c:v>1.9</c:v>
                </c:pt>
                <c:pt idx="29">
                  <c:v>1.65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elektronegativitás!$I$2:$I$36</c15:f>
                <c15:dlblRangeCache>
                  <c:ptCount val="35"/>
                  <c:pt idx="0">
                    <c:v>H</c:v>
                  </c:pt>
                  <c:pt idx="1">
                    <c:v>He</c:v>
                  </c:pt>
                  <c:pt idx="8">
                    <c:v>F</c:v>
                  </c:pt>
                  <c:pt idx="9">
                    <c:v>Ne</c:v>
                  </c:pt>
                  <c:pt idx="16">
                    <c:v>Cl</c:v>
                  </c:pt>
                  <c:pt idx="17">
                    <c:v>Ar</c:v>
                  </c:pt>
                  <c:pt idx="24">
                    <c:v>Mn</c:v>
                  </c:pt>
                  <c:pt idx="29">
                    <c:v>Zn</c:v>
                  </c:pt>
                  <c:pt idx="34">
                    <c:v>Br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6FF-409E-BA1A-643CED01D921}"/>
            </c:ext>
          </c:extLst>
        </c:ser>
        <c:ser>
          <c:idx val="3"/>
          <c:order val="3"/>
          <c:tx>
            <c:strRef>
              <c:f>elektronegativitás!$H$1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elektronegativitás!$A$2:$B$119</c15:sqref>
                  </c15:fullRef>
                  <c15:levelRef>
                    <c15:sqref>elektronegativitás!$B$2:$B$119</c15:sqref>
                  </c15:levelRef>
                </c:ext>
              </c:extLst>
              <c:f>elektronegativitás!$B$2:$B$36</c:f>
              <c:strCache>
                <c:ptCount val="35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elektronegativitás!$H$2:$H$119</c15:sqref>
                  </c15:fullRef>
                </c:ext>
              </c:extLst>
              <c:f>elektronegativitás!$H$2:$H$36</c:f>
              <c:numCache>
                <c:formatCode>0.00</c:formatCode>
                <c:ptCount val="3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FF-409E-BA1A-643CED01D9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4379983"/>
        <c:axId val="845094351"/>
      </c:lineChart>
      <c:catAx>
        <c:axId val="8443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45094351"/>
        <c:crosses val="autoZero"/>
        <c:auto val="1"/>
        <c:lblAlgn val="ctr"/>
        <c:lblOffset val="100"/>
        <c:noMultiLvlLbl val="0"/>
      </c:catAx>
      <c:valAx>
        <c:axId val="8450943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4437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elemek elektronaffinitása.</a:t>
            </a:r>
            <a:r>
              <a:rPr lang="hu-HU" baseline="0"/>
              <a:t> Vedd észre, hogy az előjel is változik!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elektronaffinitás!$D$1</c:f>
              <c:strCache>
                <c:ptCount val="1"/>
                <c:pt idx="0">
                  <c:v>összes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elektronaffinitás!$A$2:$C$104</c15:sqref>
                  </c15:fullRef>
                  <c15:levelRef>
                    <c15:sqref>elektronaffinitás!$B$2:$B$104</c15:sqref>
                  </c15:levelRef>
                </c:ext>
              </c:extLst>
              <c:f>elektronaffinitás!$B$2:$B$104</c:f>
              <c:strCache>
                <c:ptCount val="103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  <c:pt idx="38">
                  <c:v>Y</c:v>
                </c:pt>
                <c:pt idx="39">
                  <c:v>Zr</c:v>
                </c:pt>
                <c:pt idx="40">
                  <c:v>Nb</c:v>
                </c:pt>
                <c:pt idx="41">
                  <c:v>Mo</c:v>
                </c:pt>
                <c:pt idx="42">
                  <c:v>Tc</c:v>
                </c:pt>
                <c:pt idx="43">
                  <c:v>Ru</c:v>
                </c:pt>
                <c:pt idx="44">
                  <c:v>Rh</c:v>
                </c:pt>
                <c:pt idx="45">
                  <c:v>Pd</c:v>
                </c:pt>
                <c:pt idx="46">
                  <c:v>Ag</c:v>
                </c:pt>
                <c:pt idx="47">
                  <c:v>Cd</c:v>
                </c:pt>
                <c:pt idx="48">
                  <c:v>In</c:v>
                </c:pt>
                <c:pt idx="49">
                  <c:v>Sn</c:v>
                </c:pt>
                <c:pt idx="50">
                  <c:v>Sb</c:v>
                </c:pt>
                <c:pt idx="51">
                  <c:v>Te</c:v>
                </c:pt>
                <c:pt idx="52">
                  <c:v>I</c:v>
                </c:pt>
                <c:pt idx="53">
                  <c:v>Xe</c:v>
                </c:pt>
                <c:pt idx="54">
                  <c:v>Cs</c:v>
                </c:pt>
                <c:pt idx="55">
                  <c:v>Ba</c:v>
                </c:pt>
                <c:pt idx="56">
                  <c:v>La</c:v>
                </c:pt>
                <c:pt idx="57">
                  <c:v>Ce</c:v>
                </c:pt>
                <c:pt idx="58">
                  <c:v>Pr</c:v>
                </c:pt>
                <c:pt idx="59">
                  <c:v>Nd</c:v>
                </c:pt>
                <c:pt idx="60">
                  <c:v>Pm</c:v>
                </c:pt>
                <c:pt idx="61">
                  <c:v>Sm</c:v>
                </c:pt>
                <c:pt idx="62">
                  <c:v>Eu</c:v>
                </c:pt>
                <c:pt idx="63">
                  <c:v>Gd</c:v>
                </c:pt>
                <c:pt idx="64">
                  <c:v>Tb</c:v>
                </c:pt>
                <c:pt idx="65">
                  <c:v>Dy</c:v>
                </c:pt>
                <c:pt idx="66">
                  <c:v>Ho</c:v>
                </c:pt>
                <c:pt idx="67">
                  <c:v>Er</c:v>
                </c:pt>
                <c:pt idx="68">
                  <c:v>Tm</c:v>
                </c:pt>
                <c:pt idx="69">
                  <c:v>Yb</c:v>
                </c:pt>
                <c:pt idx="70">
                  <c:v>Lu</c:v>
                </c:pt>
                <c:pt idx="71">
                  <c:v>Hf</c:v>
                </c:pt>
                <c:pt idx="72">
                  <c:v>Ta</c:v>
                </c:pt>
                <c:pt idx="73">
                  <c:v>W</c:v>
                </c:pt>
                <c:pt idx="74">
                  <c:v>Re</c:v>
                </c:pt>
                <c:pt idx="75">
                  <c:v>Os</c:v>
                </c:pt>
                <c:pt idx="76">
                  <c:v>Ir</c:v>
                </c:pt>
                <c:pt idx="77">
                  <c:v>Pt</c:v>
                </c:pt>
                <c:pt idx="78">
                  <c:v>Au</c:v>
                </c:pt>
                <c:pt idx="79">
                  <c:v>Hg</c:v>
                </c:pt>
                <c:pt idx="80">
                  <c:v>Tl</c:v>
                </c:pt>
                <c:pt idx="81">
                  <c:v>Pb</c:v>
                </c:pt>
                <c:pt idx="82">
                  <c:v>Bi</c:v>
                </c:pt>
                <c:pt idx="83">
                  <c:v>Po</c:v>
                </c:pt>
                <c:pt idx="84">
                  <c:v>At</c:v>
                </c:pt>
                <c:pt idx="85">
                  <c:v>Rn</c:v>
                </c:pt>
                <c:pt idx="86">
                  <c:v>Fr</c:v>
                </c:pt>
                <c:pt idx="87">
                  <c:v>Ra</c:v>
                </c:pt>
                <c:pt idx="88">
                  <c:v>Ac</c:v>
                </c:pt>
                <c:pt idx="89">
                  <c:v>Th</c:v>
                </c:pt>
                <c:pt idx="90">
                  <c:v>Pa</c:v>
                </c:pt>
                <c:pt idx="91">
                  <c:v>U</c:v>
                </c:pt>
                <c:pt idx="92">
                  <c:v>Np</c:v>
                </c:pt>
                <c:pt idx="93">
                  <c:v>Pu</c:v>
                </c:pt>
                <c:pt idx="94">
                  <c:v>Am</c:v>
                </c:pt>
                <c:pt idx="95">
                  <c:v>Cm</c:v>
                </c:pt>
                <c:pt idx="96">
                  <c:v>Bk</c:v>
                </c:pt>
                <c:pt idx="97">
                  <c:v>Cf</c:v>
                </c:pt>
                <c:pt idx="98">
                  <c:v>Es</c:v>
                </c:pt>
                <c:pt idx="99">
                  <c:v>Fm</c:v>
                </c:pt>
                <c:pt idx="100">
                  <c:v>Md</c:v>
                </c:pt>
                <c:pt idx="101">
                  <c:v>No</c:v>
                </c:pt>
                <c:pt idx="102">
                  <c:v>Lr</c:v>
                </c:pt>
              </c:strCache>
            </c:strRef>
          </c:cat>
          <c:val>
            <c:numRef>
              <c:f>elektronaffinitás!$D$2:$D$104</c:f>
              <c:numCache>
                <c:formatCode>0.00</c:formatCode>
                <c:ptCount val="103"/>
                <c:pt idx="0">
                  <c:v>-72.78</c:v>
                </c:pt>
                <c:pt idx="1">
                  <c:v>48</c:v>
                </c:pt>
                <c:pt idx="2">
                  <c:v>-59.63</c:v>
                </c:pt>
                <c:pt idx="3">
                  <c:v>48</c:v>
                </c:pt>
                <c:pt idx="4">
                  <c:v>-26.99</c:v>
                </c:pt>
                <c:pt idx="5">
                  <c:v>-121.77</c:v>
                </c:pt>
                <c:pt idx="6">
                  <c:v>6.8</c:v>
                </c:pt>
                <c:pt idx="7">
                  <c:v>-140.97999999999999</c:v>
                </c:pt>
                <c:pt idx="8">
                  <c:v>-328.16</c:v>
                </c:pt>
                <c:pt idx="9">
                  <c:v>116</c:v>
                </c:pt>
                <c:pt idx="10">
                  <c:v>-52.87</c:v>
                </c:pt>
                <c:pt idx="11">
                  <c:v>40</c:v>
                </c:pt>
                <c:pt idx="12">
                  <c:v>-41.76</c:v>
                </c:pt>
                <c:pt idx="13">
                  <c:v>-134.06</c:v>
                </c:pt>
                <c:pt idx="14">
                  <c:v>-72.040000000000006</c:v>
                </c:pt>
                <c:pt idx="15">
                  <c:v>-200.4</c:v>
                </c:pt>
                <c:pt idx="16">
                  <c:v>-348.57</c:v>
                </c:pt>
                <c:pt idx="17">
                  <c:v>96</c:v>
                </c:pt>
                <c:pt idx="18">
                  <c:v>-48.38</c:v>
                </c:pt>
                <c:pt idx="19">
                  <c:v>-2.37</c:v>
                </c:pt>
                <c:pt idx="20">
                  <c:v>-18</c:v>
                </c:pt>
                <c:pt idx="21">
                  <c:v>-7.28</c:v>
                </c:pt>
                <c:pt idx="22">
                  <c:v>-50.91</c:v>
                </c:pt>
                <c:pt idx="23">
                  <c:v>-65.209999999999994</c:v>
                </c:pt>
                <c:pt idx="24">
                  <c:v>50</c:v>
                </c:pt>
                <c:pt idx="25">
                  <c:v>-14.78</c:v>
                </c:pt>
                <c:pt idx="26">
                  <c:v>-63.89</c:v>
                </c:pt>
                <c:pt idx="27">
                  <c:v>-111.65</c:v>
                </c:pt>
                <c:pt idx="28">
                  <c:v>-119.23</c:v>
                </c:pt>
                <c:pt idx="29">
                  <c:v>58</c:v>
                </c:pt>
                <c:pt idx="30">
                  <c:v>-29.06</c:v>
                </c:pt>
                <c:pt idx="31">
                  <c:v>-118.93</c:v>
                </c:pt>
                <c:pt idx="32">
                  <c:v>-77.650000000000006</c:v>
                </c:pt>
                <c:pt idx="33">
                  <c:v>-194.95</c:v>
                </c:pt>
                <c:pt idx="34">
                  <c:v>-324.52999999999997</c:v>
                </c:pt>
                <c:pt idx="35">
                  <c:v>96</c:v>
                </c:pt>
                <c:pt idx="36">
                  <c:v>-46.88</c:v>
                </c:pt>
                <c:pt idx="37">
                  <c:v>-5.0199999999999996</c:v>
                </c:pt>
                <c:pt idx="38">
                  <c:v>-29.6</c:v>
                </c:pt>
                <c:pt idx="39">
                  <c:v>-41.8</c:v>
                </c:pt>
                <c:pt idx="40">
                  <c:v>-88.51</c:v>
                </c:pt>
                <c:pt idx="41">
                  <c:v>-72.099999999999994</c:v>
                </c:pt>
                <c:pt idx="42">
                  <c:v>-53</c:v>
                </c:pt>
                <c:pt idx="43">
                  <c:v>-100.27</c:v>
                </c:pt>
                <c:pt idx="44">
                  <c:v>-110.27</c:v>
                </c:pt>
                <c:pt idx="45">
                  <c:v>-54.24</c:v>
                </c:pt>
                <c:pt idx="46">
                  <c:v>-125.86</c:v>
                </c:pt>
                <c:pt idx="47">
                  <c:v>68</c:v>
                </c:pt>
                <c:pt idx="48">
                  <c:v>-37.04</c:v>
                </c:pt>
                <c:pt idx="49">
                  <c:v>-107.29</c:v>
                </c:pt>
                <c:pt idx="50">
                  <c:v>-101.05</c:v>
                </c:pt>
                <c:pt idx="51">
                  <c:v>-190.16</c:v>
                </c:pt>
                <c:pt idx="52">
                  <c:v>-295.14999999999998</c:v>
                </c:pt>
                <c:pt idx="53">
                  <c:v>77</c:v>
                </c:pt>
                <c:pt idx="54">
                  <c:v>-45.5</c:v>
                </c:pt>
                <c:pt idx="55">
                  <c:v>-13.95</c:v>
                </c:pt>
                <c:pt idx="56">
                  <c:v>-53.79</c:v>
                </c:pt>
                <c:pt idx="57">
                  <c:v>-55</c:v>
                </c:pt>
                <c:pt idx="58">
                  <c:v>-10.53</c:v>
                </c:pt>
                <c:pt idx="59">
                  <c:v>-9.4</c:v>
                </c:pt>
                <c:pt idx="60">
                  <c:v>-12.45</c:v>
                </c:pt>
                <c:pt idx="61">
                  <c:v>-15.63</c:v>
                </c:pt>
                <c:pt idx="62">
                  <c:v>-11.2</c:v>
                </c:pt>
                <c:pt idx="63">
                  <c:v>-13.22</c:v>
                </c:pt>
                <c:pt idx="64">
                  <c:v>-12.67</c:v>
                </c:pt>
                <c:pt idx="65">
                  <c:v>-33.96</c:v>
                </c:pt>
                <c:pt idx="66">
                  <c:v>-32.61</c:v>
                </c:pt>
                <c:pt idx="67">
                  <c:v>-30.1</c:v>
                </c:pt>
                <c:pt idx="68">
                  <c:v>-99</c:v>
                </c:pt>
                <c:pt idx="69">
                  <c:v>1.93</c:v>
                </c:pt>
                <c:pt idx="70">
                  <c:v>-23.04</c:v>
                </c:pt>
                <c:pt idx="71">
                  <c:v>-17.18</c:v>
                </c:pt>
                <c:pt idx="72">
                  <c:v>-31</c:v>
                </c:pt>
                <c:pt idx="73">
                  <c:v>-78.760000000000005</c:v>
                </c:pt>
                <c:pt idx="74">
                  <c:v>-5.82</c:v>
                </c:pt>
                <c:pt idx="75">
                  <c:v>-104</c:v>
                </c:pt>
                <c:pt idx="76">
                  <c:v>-150.94</c:v>
                </c:pt>
                <c:pt idx="77">
                  <c:v>-205.04</c:v>
                </c:pt>
                <c:pt idx="78">
                  <c:v>-222.75</c:v>
                </c:pt>
                <c:pt idx="79">
                  <c:v>48</c:v>
                </c:pt>
                <c:pt idx="80">
                  <c:v>-30.88</c:v>
                </c:pt>
                <c:pt idx="81">
                  <c:v>-34.409999999999997</c:v>
                </c:pt>
                <c:pt idx="82">
                  <c:v>-90.92</c:v>
                </c:pt>
                <c:pt idx="83">
                  <c:v>-136</c:v>
                </c:pt>
                <c:pt idx="84">
                  <c:v>-233</c:v>
                </c:pt>
                <c:pt idx="85">
                  <c:v>68</c:v>
                </c:pt>
                <c:pt idx="86">
                  <c:v>-46.89</c:v>
                </c:pt>
                <c:pt idx="87">
                  <c:v>-9.64</c:v>
                </c:pt>
                <c:pt idx="88">
                  <c:v>-33.770000000000003</c:v>
                </c:pt>
                <c:pt idx="89">
                  <c:v>-112.72</c:v>
                </c:pt>
                <c:pt idx="90">
                  <c:v>-53.03</c:v>
                </c:pt>
                <c:pt idx="91">
                  <c:v>-50.94</c:v>
                </c:pt>
                <c:pt idx="92">
                  <c:v>-45.85</c:v>
                </c:pt>
                <c:pt idx="93">
                  <c:v>48.33</c:v>
                </c:pt>
                <c:pt idx="94">
                  <c:v>-9.93</c:v>
                </c:pt>
                <c:pt idx="95">
                  <c:v>-27.17</c:v>
                </c:pt>
                <c:pt idx="96">
                  <c:v>165.24</c:v>
                </c:pt>
                <c:pt idx="97">
                  <c:v>97.31</c:v>
                </c:pt>
                <c:pt idx="98">
                  <c:v>28.6</c:v>
                </c:pt>
                <c:pt idx="99">
                  <c:v>-33.96</c:v>
                </c:pt>
                <c:pt idx="100">
                  <c:v>-93.91</c:v>
                </c:pt>
                <c:pt idx="101">
                  <c:v>223.22</c:v>
                </c:pt>
                <c:pt idx="102">
                  <c:v>30.04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B-4EF3-B7F7-AEBD56A08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631855"/>
        <c:axId val="1142630895"/>
      </c:lineChart>
      <c:catAx>
        <c:axId val="114263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2630895"/>
        <c:crosses val="autoZero"/>
        <c:auto val="1"/>
        <c:lblAlgn val="ctr"/>
        <c:lblOffset val="100"/>
        <c:noMultiLvlLbl val="1"/>
      </c:catAx>
      <c:valAx>
        <c:axId val="114263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263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Elektronaffinitás az első 4 periódusban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elektronaffinitás!$F$1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EBE-483F-9FB4-8B8CABAB9F93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EEBE-483F-9FB4-8B8CABAB9F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9CB33AF-6528-4429-8FEF-333ECFF5AE4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55F3-40B9-AFB4-3ED52D54AA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CC7D82E-7063-4E90-A129-6471437B388D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5F3-40B9-AFB4-3ED52D54AA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9D51194-89C8-462D-B515-C53548ACA07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5F3-40B9-AFB4-3ED52D54AA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673D6E-CEDF-464F-9790-118994E1406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5F3-40B9-AFB4-3ED52D54AA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5F3-40B9-AFB4-3ED52D54AA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5F3-40B9-AFB4-3ED52D54AA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5F3-40B9-AFB4-3ED52D54AA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5F3-40B9-AFB4-3ED52D54AA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55F3-40B9-AFB4-3ED52D54AA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5F3-40B9-AFB4-3ED52D54AA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AD0C511-60C7-40C7-9622-AA3C8713F19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BE-483F-9FB4-8B8CABAB9F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5E74E94-6102-4A29-B9D7-29D71AE881D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5F3-40B9-AFB4-3ED52D54AA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5F3-40B9-AFB4-3ED52D54AA0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5F3-40B9-AFB4-3ED52D54AA0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5F3-40B9-AFB4-3ED52D54AA0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5F3-40B9-AFB4-3ED52D54AA0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5F3-40B9-AFB4-3ED52D54AA0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5F3-40B9-AFB4-3ED52D54AA0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67A92E1-56CD-4358-964A-B41AC325FE7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BE-483F-9FB4-8B8CABAB9F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EA4FA31-431A-4555-9811-8FD73ADB02F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5F3-40B9-AFB4-3ED52D54AA0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5F3-40B9-AFB4-3ED52D54AA0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5F3-40B9-AFB4-3ED52D54AA0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5F3-40B9-AFB4-3ED52D54AA0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5F3-40B9-AFB4-3ED52D54AA0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5F3-40B9-AFB4-3ED52D54AA0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5F3-40B9-AFB4-3ED52D54AA0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5F3-40B9-AFB4-3ED52D54AA0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5F3-40B9-AFB4-3ED52D54AA0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5F3-40B9-AFB4-3ED52D54AA0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5F3-40B9-AFB4-3ED52D54AA0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5F3-40B9-AFB4-3ED52D54AA0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5F3-40B9-AFB4-3ED52D54AA0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5F3-40B9-AFB4-3ED52D54AA0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5F3-40B9-AFB4-3ED52D54AA0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5F3-40B9-AFB4-3ED52D54AA0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5F3-40B9-AFB4-3ED52D54AA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multiLvlStrRef>
              <c:f>elektronaffinitás!$A$2:$C$37</c:f>
              <c:multiLvlStrCache>
                <c:ptCount val="36"/>
                <c:lvl>
                  <c:pt idx="0">
                    <c:v>Hydrogen</c:v>
                  </c:pt>
                  <c:pt idx="1">
                    <c:v>Helium</c:v>
                  </c:pt>
                  <c:pt idx="2">
                    <c:v>Lithium</c:v>
                  </c:pt>
                  <c:pt idx="3">
                    <c:v>Beryllium</c:v>
                  </c:pt>
                  <c:pt idx="4">
                    <c:v>Boron</c:v>
                  </c:pt>
                  <c:pt idx="5">
                    <c:v>Carbon</c:v>
                  </c:pt>
                  <c:pt idx="6">
                    <c:v>Nitrogen</c:v>
                  </c:pt>
                  <c:pt idx="7">
                    <c:v>Oxygen</c:v>
                  </c:pt>
                  <c:pt idx="8">
                    <c:v>Fluorine</c:v>
                  </c:pt>
                  <c:pt idx="9">
                    <c:v>Neon</c:v>
                  </c:pt>
                  <c:pt idx="10">
                    <c:v>Sodium</c:v>
                  </c:pt>
                  <c:pt idx="11">
                    <c:v>Magnesium</c:v>
                  </c:pt>
                  <c:pt idx="12">
                    <c:v>Aluminum</c:v>
                  </c:pt>
                  <c:pt idx="13">
                    <c:v>Silicon</c:v>
                  </c:pt>
                  <c:pt idx="14">
                    <c:v>Phosphorus</c:v>
                  </c:pt>
                  <c:pt idx="15">
                    <c:v>Sulfur</c:v>
                  </c:pt>
                  <c:pt idx="16">
                    <c:v>Chlorine</c:v>
                  </c:pt>
                  <c:pt idx="17">
                    <c:v>Argon</c:v>
                  </c:pt>
                  <c:pt idx="18">
                    <c:v>Potassium</c:v>
                  </c:pt>
                  <c:pt idx="19">
                    <c:v>Calcium</c:v>
                  </c:pt>
                  <c:pt idx="20">
                    <c:v>Scandium</c:v>
                  </c:pt>
                  <c:pt idx="21">
                    <c:v>Titanium</c:v>
                  </c:pt>
                  <c:pt idx="22">
                    <c:v>Vanadium</c:v>
                  </c:pt>
                  <c:pt idx="23">
                    <c:v>Chromium</c:v>
                  </c:pt>
                  <c:pt idx="24">
                    <c:v>Manganese</c:v>
                  </c:pt>
                  <c:pt idx="25">
                    <c:v>Iron</c:v>
                  </c:pt>
                  <c:pt idx="26">
                    <c:v>Cobalt</c:v>
                  </c:pt>
                  <c:pt idx="27">
                    <c:v>Nickel</c:v>
                  </c:pt>
                  <c:pt idx="28">
                    <c:v>Copper</c:v>
                  </c:pt>
                  <c:pt idx="29">
                    <c:v>Zinc</c:v>
                  </c:pt>
                  <c:pt idx="30">
                    <c:v>Gallium</c:v>
                  </c:pt>
                  <c:pt idx="31">
                    <c:v>Germanium</c:v>
                  </c:pt>
                  <c:pt idx="32">
                    <c:v>Arsenic</c:v>
                  </c:pt>
                  <c:pt idx="33">
                    <c:v>Selenium</c:v>
                  </c:pt>
                  <c:pt idx="34">
                    <c:v>Bromine</c:v>
                  </c:pt>
                  <c:pt idx="35">
                    <c:v>Krypton</c:v>
                  </c:pt>
                </c:lvl>
                <c:lvl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3">
                    <c:v>Be</c:v>
                  </c:pt>
                  <c:pt idx="4">
                    <c:v>B</c:v>
                  </c:pt>
                  <c:pt idx="5">
                    <c:v>C</c:v>
                  </c:pt>
                  <c:pt idx="6">
                    <c:v>N</c:v>
                  </c:pt>
                  <c:pt idx="7">
                    <c:v>O</c:v>
                  </c:pt>
                  <c:pt idx="8">
                    <c:v>F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3">
                    <c:v>Si</c:v>
                  </c:pt>
                  <c:pt idx="14">
                    <c:v>P</c:v>
                  </c:pt>
                  <c:pt idx="15">
                    <c:v>S</c:v>
                  </c:pt>
                  <c:pt idx="16">
                    <c:v>Cl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0">
                    <c:v>Sc</c:v>
                  </c:pt>
                  <c:pt idx="21">
                    <c:v>Ti</c:v>
                  </c:pt>
                  <c:pt idx="22">
                    <c:v>V</c:v>
                  </c:pt>
                  <c:pt idx="23">
                    <c:v>Cr</c:v>
                  </c:pt>
                  <c:pt idx="24">
                    <c:v>Mn</c:v>
                  </c:pt>
                  <c:pt idx="25">
                    <c:v>Fe</c:v>
                  </c:pt>
                  <c:pt idx="26">
                    <c:v>Co</c:v>
                  </c:pt>
                  <c:pt idx="27">
                    <c:v>Ni</c:v>
                  </c:pt>
                  <c:pt idx="28">
                    <c:v>Cu</c:v>
                  </c:pt>
                  <c:pt idx="29">
                    <c:v>Zn</c:v>
                  </c:pt>
                  <c:pt idx="30">
                    <c:v>Ga</c:v>
                  </c:pt>
                  <c:pt idx="31">
                    <c:v>Ge</c:v>
                  </c:pt>
                  <c:pt idx="32">
                    <c:v>As</c:v>
                  </c:pt>
                  <c:pt idx="33">
                    <c:v>Se</c:v>
                  </c:pt>
                  <c:pt idx="34">
                    <c:v>Br</c:v>
                  </c:pt>
                  <c:pt idx="35">
                    <c:v>Kr</c:v>
                  </c:pt>
                </c:lvl>
                <c:lvl>
                  <c:pt idx="0">
                    <c:v>1,00</c:v>
                  </c:pt>
                  <c:pt idx="1">
                    <c:v>2,00</c:v>
                  </c:pt>
                  <c:pt idx="2">
                    <c:v>3,00</c:v>
                  </c:pt>
                  <c:pt idx="3">
                    <c:v>4,00</c:v>
                  </c:pt>
                  <c:pt idx="4">
                    <c:v>5,00</c:v>
                  </c:pt>
                  <c:pt idx="5">
                    <c:v>6,00</c:v>
                  </c:pt>
                  <c:pt idx="6">
                    <c:v>7,00</c:v>
                  </c:pt>
                  <c:pt idx="7">
                    <c:v>8,00</c:v>
                  </c:pt>
                  <c:pt idx="8">
                    <c:v>9,00</c:v>
                  </c:pt>
                  <c:pt idx="9">
                    <c:v>10,00</c:v>
                  </c:pt>
                  <c:pt idx="10">
                    <c:v>11,00</c:v>
                  </c:pt>
                  <c:pt idx="11">
                    <c:v>12,00</c:v>
                  </c:pt>
                  <c:pt idx="12">
                    <c:v>13,00</c:v>
                  </c:pt>
                  <c:pt idx="13">
                    <c:v>14,00</c:v>
                  </c:pt>
                  <c:pt idx="14">
                    <c:v>15,00</c:v>
                  </c:pt>
                  <c:pt idx="15">
                    <c:v>16,00</c:v>
                  </c:pt>
                  <c:pt idx="16">
                    <c:v>17,00</c:v>
                  </c:pt>
                  <c:pt idx="17">
                    <c:v>18,00</c:v>
                  </c:pt>
                  <c:pt idx="18">
                    <c:v>19,00</c:v>
                  </c:pt>
                  <c:pt idx="19">
                    <c:v>20,00</c:v>
                  </c:pt>
                  <c:pt idx="20">
                    <c:v>21,00</c:v>
                  </c:pt>
                  <c:pt idx="21">
                    <c:v>22,00</c:v>
                  </c:pt>
                  <c:pt idx="22">
                    <c:v>23,00</c:v>
                  </c:pt>
                  <c:pt idx="23">
                    <c:v>24,00</c:v>
                  </c:pt>
                  <c:pt idx="24">
                    <c:v>25,00</c:v>
                  </c:pt>
                  <c:pt idx="25">
                    <c:v>26,00</c:v>
                  </c:pt>
                  <c:pt idx="26">
                    <c:v>27,00</c:v>
                  </c:pt>
                  <c:pt idx="27">
                    <c:v>28,00</c:v>
                  </c:pt>
                  <c:pt idx="28">
                    <c:v>29,00</c:v>
                  </c:pt>
                  <c:pt idx="29">
                    <c:v>30,00</c:v>
                  </c:pt>
                  <c:pt idx="30">
                    <c:v>31,00</c:v>
                  </c:pt>
                  <c:pt idx="31">
                    <c:v>32,00</c:v>
                  </c:pt>
                  <c:pt idx="32">
                    <c:v>33,00</c:v>
                  </c:pt>
                  <c:pt idx="33">
                    <c:v>34,00</c:v>
                  </c:pt>
                  <c:pt idx="34">
                    <c:v>35,00</c:v>
                  </c:pt>
                  <c:pt idx="35">
                    <c:v>36,00</c:v>
                  </c:pt>
                </c:lvl>
              </c:multiLvlStrCache>
            </c:multiLvlStrRef>
          </c:xVal>
          <c:yVal>
            <c:numRef>
              <c:f>elektronaffinitás!$F$2:$F$37</c:f>
              <c:numCache>
                <c:formatCode>General</c:formatCode>
                <c:ptCount val="36"/>
                <c:pt idx="0">
                  <c:v>-72.78</c:v>
                </c:pt>
                <c:pt idx="1">
                  <c:v>48</c:v>
                </c:pt>
                <c:pt idx="2">
                  <c:v>-59.63</c:v>
                </c:pt>
                <c:pt idx="3">
                  <c:v>48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-52.87</c:v>
                </c:pt>
                <c:pt idx="11">
                  <c:v>40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-48.38</c:v>
                </c:pt>
                <c:pt idx="19">
                  <c:v>-2.37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elektronaffinitás!$J$2:$J$37</c15:f>
                <c15:dlblRangeCache>
                  <c:ptCount val="36"/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3">
                    <c:v>Be</c:v>
                  </c:pt>
                  <c:pt idx="4">
                    <c:v>B</c:v>
                  </c:pt>
                  <c:pt idx="5">
                    <c:v>C</c:v>
                  </c:pt>
                  <c:pt idx="6">
                    <c:v>N</c:v>
                  </c:pt>
                  <c:pt idx="8">
                    <c:v>F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6">
                    <c:v>Cl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3">
                    <c:v>Cr</c:v>
                  </c:pt>
                  <c:pt idx="24">
                    <c:v>Mn</c:v>
                  </c:pt>
                  <c:pt idx="28">
                    <c:v>Cu</c:v>
                  </c:pt>
                  <c:pt idx="29">
                    <c:v>Zn</c:v>
                  </c:pt>
                  <c:pt idx="34">
                    <c:v>Br</c:v>
                  </c:pt>
                  <c:pt idx="35">
                    <c:v>Kr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27B-4EF3-B7F7-AEBD56A08874}"/>
            </c:ext>
          </c:extLst>
        </c:ser>
        <c:ser>
          <c:idx val="1"/>
          <c:order val="1"/>
          <c:tx>
            <c:strRef>
              <c:f>elektronaffinitás!$G$1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BE-483F-9FB4-8B8CABAB9F93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BE-483F-9FB4-8B8CABAB9F93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EBE-483F-9FB4-8B8CABAB9F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5F3-40B9-AFB4-3ED52D54AA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5F3-40B9-AFB4-3ED52D54AA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5F3-40B9-AFB4-3ED52D54AA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5F3-40B9-AFB4-3ED52D54AA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4C5C82-8D3D-4BDB-927C-D04236710EC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BE-483F-9FB4-8B8CABAB9F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0419BCB-6D01-4AA2-A10A-630B91E1E65E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5F3-40B9-AFB4-3ED52D54AA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BB4C7CC-517E-4A4E-9E96-05D2E86653D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5F3-40B9-AFB4-3ED52D54AA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84EF4C6-92D8-415C-96A3-2CC9F449EF4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5F3-40B9-AFB4-3ED52D54AA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4D71890-863A-49D8-B7D0-248DA76B021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5F3-40B9-AFB4-3ED52D54AA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711FF9D-4C53-4EA0-B9AB-E0DE2369CD68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5F3-40B9-AFB4-3ED52D54AA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5F3-40B9-AFB4-3ED52D54AA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5F3-40B9-AFB4-3ED52D54AA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762F323-C0FC-4DB3-8296-D3ACF498BE2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BE-483F-9FB4-8B8CABAB9F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5DAA9C0-787E-4704-8965-84D0BB32144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5F3-40B9-AFB4-3ED52D54AA0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E7EEE3C-ACDC-418F-A74A-F70BA8AA84C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5F3-40B9-AFB4-3ED52D54AA0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D70EE65-0013-474B-BE74-ECF33B03F082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5F3-40B9-AFB4-3ED52D54AA0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FD444C2-D7C2-4D70-B27F-E1D0E3059A2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55F3-40B9-AFB4-3ED52D54AA0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1F484C2-010B-4742-844F-743CD1D6062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5F3-40B9-AFB4-3ED52D54AA0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55F3-40B9-AFB4-3ED52D54AA0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5F3-40B9-AFB4-3ED52D54AA0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55F3-40B9-AFB4-3ED52D54AA0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55F3-40B9-AFB4-3ED52D54AA0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55F3-40B9-AFB4-3ED52D54AA0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55F3-40B9-AFB4-3ED52D54AA0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55F3-40B9-AFB4-3ED52D54AA0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55F3-40B9-AFB4-3ED52D54AA0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55F3-40B9-AFB4-3ED52D54AA0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55F3-40B9-AFB4-3ED52D54AA0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55F3-40B9-AFB4-3ED52D54AA0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55F3-40B9-AFB4-3ED52D54AA0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10B4069-2894-486A-89D5-9502ED159EF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BE-483F-9FB4-8B8CABAB9F9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7217572-EB62-477C-AF96-4F15D0EEAEFC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55F3-40B9-AFB4-3ED52D54AA0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E74D72D-A018-464A-99B1-CE4BE63A7B3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55F3-40B9-AFB4-3ED52D54AA0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1986F78E-1D0E-4FC2-9501-A416E4C5EAE9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55F3-40B9-AFB4-3ED52D54AA0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267F4DF-B0DC-4A28-BFD8-F11BA765296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55F3-40B9-AFB4-3ED52D54AA0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FB20C2D-F41B-41CC-A45D-959DED90616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55F3-40B9-AFB4-3ED52D54AA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multiLvlStrRef>
              <c:f>elektronaffinitás!$A$2:$C$37</c:f>
              <c:multiLvlStrCache>
                <c:ptCount val="36"/>
                <c:lvl>
                  <c:pt idx="0">
                    <c:v>Hydrogen</c:v>
                  </c:pt>
                  <c:pt idx="1">
                    <c:v>Helium</c:v>
                  </c:pt>
                  <c:pt idx="2">
                    <c:v>Lithium</c:v>
                  </c:pt>
                  <c:pt idx="3">
                    <c:v>Beryllium</c:v>
                  </c:pt>
                  <c:pt idx="4">
                    <c:v>Boron</c:v>
                  </c:pt>
                  <c:pt idx="5">
                    <c:v>Carbon</c:v>
                  </c:pt>
                  <c:pt idx="6">
                    <c:v>Nitrogen</c:v>
                  </c:pt>
                  <c:pt idx="7">
                    <c:v>Oxygen</c:v>
                  </c:pt>
                  <c:pt idx="8">
                    <c:v>Fluorine</c:v>
                  </c:pt>
                  <c:pt idx="9">
                    <c:v>Neon</c:v>
                  </c:pt>
                  <c:pt idx="10">
                    <c:v>Sodium</c:v>
                  </c:pt>
                  <c:pt idx="11">
                    <c:v>Magnesium</c:v>
                  </c:pt>
                  <c:pt idx="12">
                    <c:v>Aluminum</c:v>
                  </c:pt>
                  <c:pt idx="13">
                    <c:v>Silicon</c:v>
                  </c:pt>
                  <c:pt idx="14">
                    <c:v>Phosphorus</c:v>
                  </c:pt>
                  <c:pt idx="15">
                    <c:v>Sulfur</c:v>
                  </c:pt>
                  <c:pt idx="16">
                    <c:v>Chlorine</c:v>
                  </c:pt>
                  <c:pt idx="17">
                    <c:v>Argon</c:v>
                  </c:pt>
                  <c:pt idx="18">
                    <c:v>Potassium</c:v>
                  </c:pt>
                  <c:pt idx="19">
                    <c:v>Calcium</c:v>
                  </c:pt>
                  <c:pt idx="20">
                    <c:v>Scandium</c:v>
                  </c:pt>
                  <c:pt idx="21">
                    <c:v>Titanium</c:v>
                  </c:pt>
                  <c:pt idx="22">
                    <c:v>Vanadium</c:v>
                  </c:pt>
                  <c:pt idx="23">
                    <c:v>Chromium</c:v>
                  </c:pt>
                  <c:pt idx="24">
                    <c:v>Manganese</c:v>
                  </c:pt>
                  <c:pt idx="25">
                    <c:v>Iron</c:v>
                  </c:pt>
                  <c:pt idx="26">
                    <c:v>Cobalt</c:v>
                  </c:pt>
                  <c:pt idx="27">
                    <c:v>Nickel</c:v>
                  </c:pt>
                  <c:pt idx="28">
                    <c:v>Copper</c:v>
                  </c:pt>
                  <c:pt idx="29">
                    <c:v>Zinc</c:v>
                  </c:pt>
                  <c:pt idx="30">
                    <c:v>Gallium</c:v>
                  </c:pt>
                  <c:pt idx="31">
                    <c:v>Germanium</c:v>
                  </c:pt>
                  <c:pt idx="32">
                    <c:v>Arsenic</c:v>
                  </c:pt>
                  <c:pt idx="33">
                    <c:v>Selenium</c:v>
                  </c:pt>
                  <c:pt idx="34">
                    <c:v>Bromine</c:v>
                  </c:pt>
                  <c:pt idx="35">
                    <c:v>Krypton</c:v>
                  </c:pt>
                </c:lvl>
                <c:lvl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3">
                    <c:v>Be</c:v>
                  </c:pt>
                  <c:pt idx="4">
                    <c:v>B</c:v>
                  </c:pt>
                  <c:pt idx="5">
                    <c:v>C</c:v>
                  </c:pt>
                  <c:pt idx="6">
                    <c:v>N</c:v>
                  </c:pt>
                  <c:pt idx="7">
                    <c:v>O</c:v>
                  </c:pt>
                  <c:pt idx="8">
                    <c:v>F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3">
                    <c:v>Si</c:v>
                  </c:pt>
                  <c:pt idx="14">
                    <c:v>P</c:v>
                  </c:pt>
                  <c:pt idx="15">
                    <c:v>S</c:v>
                  </c:pt>
                  <c:pt idx="16">
                    <c:v>Cl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0">
                    <c:v>Sc</c:v>
                  </c:pt>
                  <c:pt idx="21">
                    <c:v>Ti</c:v>
                  </c:pt>
                  <c:pt idx="22">
                    <c:v>V</c:v>
                  </c:pt>
                  <c:pt idx="23">
                    <c:v>Cr</c:v>
                  </c:pt>
                  <c:pt idx="24">
                    <c:v>Mn</c:v>
                  </c:pt>
                  <c:pt idx="25">
                    <c:v>Fe</c:v>
                  </c:pt>
                  <c:pt idx="26">
                    <c:v>Co</c:v>
                  </c:pt>
                  <c:pt idx="27">
                    <c:v>Ni</c:v>
                  </c:pt>
                  <c:pt idx="28">
                    <c:v>Cu</c:v>
                  </c:pt>
                  <c:pt idx="29">
                    <c:v>Zn</c:v>
                  </c:pt>
                  <c:pt idx="30">
                    <c:v>Ga</c:v>
                  </c:pt>
                  <c:pt idx="31">
                    <c:v>Ge</c:v>
                  </c:pt>
                  <c:pt idx="32">
                    <c:v>As</c:v>
                  </c:pt>
                  <c:pt idx="33">
                    <c:v>Se</c:v>
                  </c:pt>
                  <c:pt idx="34">
                    <c:v>Br</c:v>
                  </c:pt>
                  <c:pt idx="35">
                    <c:v>Kr</c:v>
                  </c:pt>
                </c:lvl>
                <c:lvl>
                  <c:pt idx="0">
                    <c:v>1,00</c:v>
                  </c:pt>
                  <c:pt idx="1">
                    <c:v>2,00</c:v>
                  </c:pt>
                  <c:pt idx="2">
                    <c:v>3,00</c:v>
                  </c:pt>
                  <c:pt idx="3">
                    <c:v>4,00</c:v>
                  </c:pt>
                  <c:pt idx="4">
                    <c:v>5,00</c:v>
                  </c:pt>
                  <c:pt idx="5">
                    <c:v>6,00</c:v>
                  </c:pt>
                  <c:pt idx="6">
                    <c:v>7,00</c:v>
                  </c:pt>
                  <c:pt idx="7">
                    <c:v>8,00</c:v>
                  </c:pt>
                  <c:pt idx="8">
                    <c:v>9,00</c:v>
                  </c:pt>
                  <c:pt idx="9">
                    <c:v>10,00</c:v>
                  </c:pt>
                  <c:pt idx="10">
                    <c:v>11,00</c:v>
                  </c:pt>
                  <c:pt idx="11">
                    <c:v>12,00</c:v>
                  </c:pt>
                  <c:pt idx="12">
                    <c:v>13,00</c:v>
                  </c:pt>
                  <c:pt idx="13">
                    <c:v>14,00</c:v>
                  </c:pt>
                  <c:pt idx="14">
                    <c:v>15,00</c:v>
                  </c:pt>
                  <c:pt idx="15">
                    <c:v>16,00</c:v>
                  </c:pt>
                  <c:pt idx="16">
                    <c:v>17,00</c:v>
                  </c:pt>
                  <c:pt idx="17">
                    <c:v>18,00</c:v>
                  </c:pt>
                  <c:pt idx="18">
                    <c:v>19,00</c:v>
                  </c:pt>
                  <c:pt idx="19">
                    <c:v>20,00</c:v>
                  </c:pt>
                  <c:pt idx="20">
                    <c:v>21,00</c:v>
                  </c:pt>
                  <c:pt idx="21">
                    <c:v>22,00</c:v>
                  </c:pt>
                  <c:pt idx="22">
                    <c:v>23,00</c:v>
                  </c:pt>
                  <c:pt idx="23">
                    <c:v>24,00</c:v>
                  </c:pt>
                  <c:pt idx="24">
                    <c:v>25,00</c:v>
                  </c:pt>
                  <c:pt idx="25">
                    <c:v>26,00</c:v>
                  </c:pt>
                  <c:pt idx="26">
                    <c:v>27,00</c:v>
                  </c:pt>
                  <c:pt idx="27">
                    <c:v>28,00</c:v>
                  </c:pt>
                  <c:pt idx="28">
                    <c:v>29,00</c:v>
                  </c:pt>
                  <c:pt idx="29">
                    <c:v>30,00</c:v>
                  </c:pt>
                  <c:pt idx="30">
                    <c:v>31,00</c:v>
                  </c:pt>
                  <c:pt idx="31">
                    <c:v>32,00</c:v>
                  </c:pt>
                  <c:pt idx="32">
                    <c:v>33,00</c:v>
                  </c:pt>
                  <c:pt idx="33">
                    <c:v>34,00</c:v>
                  </c:pt>
                  <c:pt idx="34">
                    <c:v>35,00</c:v>
                  </c:pt>
                  <c:pt idx="35">
                    <c:v>36,00</c:v>
                  </c:pt>
                </c:lvl>
              </c:multiLvlStrCache>
            </c:multiLvlStrRef>
          </c:xVal>
          <c:yVal>
            <c:numRef>
              <c:f>elektronaffinitás!$G$2:$G$37</c:f>
              <c:numCache>
                <c:formatCode>General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-26.99</c:v>
                </c:pt>
                <c:pt idx="5">
                  <c:v>-121.77</c:v>
                </c:pt>
                <c:pt idx="6">
                  <c:v>6.8</c:v>
                </c:pt>
                <c:pt idx="7">
                  <c:v>-140.97999999999999</c:v>
                </c:pt>
                <c:pt idx="8">
                  <c:v>-328.16</c:v>
                </c:pt>
                <c:pt idx="9">
                  <c:v>116</c:v>
                </c:pt>
                <c:pt idx="10">
                  <c:v>#N/A</c:v>
                </c:pt>
                <c:pt idx="11">
                  <c:v>#N/A</c:v>
                </c:pt>
                <c:pt idx="12">
                  <c:v>-41.76</c:v>
                </c:pt>
                <c:pt idx="13">
                  <c:v>-134.06</c:v>
                </c:pt>
                <c:pt idx="14">
                  <c:v>-72.040000000000006</c:v>
                </c:pt>
                <c:pt idx="15">
                  <c:v>-200.4</c:v>
                </c:pt>
                <c:pt idx="16">
                  <c:v>-348.57</c:v>
                </c:pt>
                <c:pt idx="17">
                  <c:v>96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-29.06</c:v>
                </c:pt>
                <c:pt idx="31">
                  <c:v>-118.93</c:v>
                </c:pt>
                <c:pt idx="32">
                  <c:v>-77.650000000000006</c:v>
                </c:pt>
                <c:pt idx="33">
                  <c:v>-194.95</c:v>
                </c:pt>
                <c:pt idx="34">
                  <c:v>-324.52999999999997</c:v>
                </c:pt>
                <c:pt idx="35">
                  <c:v>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elektronaffinitás!$J$2:$J$37</c15:f>
                <c15:dlblRangeCache>
                  <c:ptCount val="36"/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3">
                    <c:v>Be</c:v>
                  </c:pt>
                  <c:pt idx="4">
                    <c:v>B</c:v>
                  </c:pt>
                  <c:pt idx="5">
                    <c:v>C</c:v>
                  </c:pt>
                  <c:pt idx="6">
                    <c:v>N</c:v>
                  </c:pt>
                  <c:pt idx="8">
                    <c:v>F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6">
                    <c:v>Cl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3">
                    <c:v>Cr</c:v>
                  </c:pt>
                  <c:pt idx="24">
                    <c:v>Mn</c:v>
                  </c:pt>
                  <c:pt idx="28">
                    <c:v>Cu</c:v>
                  </c:pt>
                  <c:pt idx="29">
                    <c:v>Zn</c:v>
                  </c:pt>
                  <c:pt idx="34">
                    <c:v>Br</c:v>
                  </c:pt>
                  <c:pt idx="35">
                    <c:v>Kr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EBE-483F-9FB4-8B8CABAB9F93}"/>
            </c:ext>
          </c:extLst>
        </c:ser>
        <c:ser>
          <c:idx val="2"/>
          <c:order val="2"/>
          <c:tx>
            <c:strRef>
              <c:f>elektronaffinitás!$H$1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multiLvlStrRef>
              <c:f>elektronaffinitás!$A$2:$C$37</c:f>
              <c:multiLvlStrCache>
                <c:ptCount val="36"/>
                <c:lvl>
                  <c:pt idx="0">
                    <c:v>Hydrogen</c:v>
                  </c:pt>
                  <c:pt idx="1">
                    <c:v>Helium</c:v>
                  </c:pt>
                  <c:pt idx="2">
                    <c:v>Lithium</c:v>
                  </c:pt>
                  <c:pt idx="3">
                    <c:v>Beryllium</c:v>
                  </c:pt>
                  <c:pt idx="4">
                    <c:v>Boron</c:v>
                  </c:pt>
                  <c:pt idx="5">
                    <c:v>Carbon</c:v>
                  </c:pt>
                  <c:pt idx="6">
                    <c:v>Nitrogen</c:v>
                  </c:pt>
                  <c:pt idx="7">
                    <c:v>Oxygen</c:v>
                  </c:pt>
                  <c:pt idx="8">
                    <c:v>Fluorine</c:v>
                  </c:pt>
                  <c:pt idx="9">
                    <c:v>Neon</c:v>
                  </c:pt>
                  <c:pt idx="10">
                    <c:v>Sodium</c:v>
                  </c:pt>
                  <c:pt idx="11">
                    <c:v>Magnesium</c:v>
                  </c:pt>
                  <c:pt idx="12">
                    <c:v>Aluminum</c:v>
                  </c:pt>
                  <c:pt idx="13">
                    <c:v>Silicon</c:v>
                  </c:pt>
                  <c:pt idx="14">
                    <c:v>Phosphorus</c:v>
                  </c:pt>
                  <c:pt idx="15">
                    <c:v>Sulfur</c:v>
                  </c:pt>
                  <c:pt idx="16">
                    <c:v>Chlorine</c:v>
                  </c:pt>
                  <c:pt idx="17">
                    <c:v>Argon</c:v>
                  </c:pt>
                  <c:pt idx="18">
                    <c:v>Potassium</c:v>
                  </c:pt>
                  <c:pt idx="19">
                    <c:v>Calcium</c:v>
                  </c:pt>
                  <c:pt idx="20">
                    <c:v>Scandium</c:v>
                  </c:pt>
                  <c:pt idx="21">
                    <c:v>Titanium</c:v>
                  </c:pt>
                  <c:pt idx="22">
                    <c:v>Vanadium</c:v>
                  </c:pt>
                  <c:pt idx="23">
                    <c:v>Chromium</c:v>
                  </c:pt>
                  <c:pt idx="24">
                    <c:v>Manganese</c:v>
                  </c:pt>
                  <c:pt idx="25">
                    <c:v>Iron</c:v>
                  </c:pt>
                  <c:pt idx="26">
                    <c:v>Cobalt</c:v>
                  </c:pt>
                  <c:pt idx="27">
                    <c:v>Nickel</c:v>
                  </c:pt>
                  <c:pt idx="28">
                    <c:v>Copper</c:v>
                  </c:pt>
                  <c:pt idx="29">
                    <c:v>Zinc</c:v>
                  </c:pt>
                  <c:pt idx="30">
                    <c:v>Gallium</c:v>
                  </c:pt>
                  <c:pt idx="31">
                    <c:v>Germanium</c:v>
                  </c:pt>
                  <c:pt idx="32">
                    <c:v>Arsenic</c:v>
                  </c:pt>
                  <c:pt idx="33">
                    <c:v>Selenium</c:v>
                  </c:pt>
                  <c:pt idx="34">
                    <c:v>Bromine</c:v>
                  </c:pt>
                  <c:pt idx="35">
                    <c:v>Krypton</c:v>
                  </c:pt>
                </c:lvl>
                <c:lvl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3">
                    <c:v>Be</c:v>
                  </c:pt>
                  <c:pt idx="4">
                    <c:v>B</c:v>
                  </c:pt>
                  <c:pt idx="5">
                    <c:v>C</c:v>
                  </c:pt>
                  <c:pt idx="6">
                    <c:v>N</c:v>
                  </c:pt>
                  <c:pt idx="7">
                    <c:v>O</c:v>
                  </c:pt>
                  <c:pt idx="8">
                    <c:v>F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3">
                    <c:v>Si</c:v>
                  </c:pt>
                  <c:pt idx="14">
                    <c:v>P</c:v>
                  </c:pt>
                  <c:pt idx="15">
                    <c:v>S</c:v>
                  </c:pt>
                  <c:pt idx="16">
                    <c:v>Cl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0">
                    <c:v>Sc</c:v>
                  </c:pt>
                  <c:pt idx="21">
                    <c:v>Ti</c:v>
                  </c:pt>
                  <c:pt idx="22">
                    <c:v>V</c:v>
                  </c:pt>
                  <c:pt idx="23">
                    <c:v>Cr</c:v>
                  </c:pt>
                  <c:pt idx="24">
                    <c:v>Mn</c:v>
                  </c:pt>
                  <c:pt idx="25">
                    <c:v>Fe</c:v>
                  </c:pt>
                  <c:pt idx="26">
                    <c:v>Co</c:v>
                  </c:pt>
                  <c:pt idx="27">
                    <c:v>Ni</c:v>
                  </c:pt>
                  <c:pt idx="28">
                    <c:v>Cu</c:v>
                  </c:pt>
                  <c:pt idx="29">
                    <c:v>Zn</c:v>
                  </c:pt>
                  <c:pt idx="30">
                    <c:v>Ga</c:v>
                  </c:pt>
                  <c:pt idx="31">
                    <c:v>Ge</c:v>
                  </c:pt>
                  <c:pt idx="32">
                    <c:v>As</c:v>
                  </c:pt>
                  <c:pt idx="33">
                    <c:v>Se</c:v>
                  </c:pt>
                  <c:pt idx="34">
                    <c:v>Br</c:v>
                  </c:pt>
                  <c:pt idx="35">
                    <c:v>Kr</c:v>
                  </c:pt>
                </c:lvl>
                <c:lvl>
                  <c:pt idx="0">
                    <c:v>1,00</c:v>
                  </c:pt>
                  <c:pt idx="1">
                    <c:v>2,00</c:v>
                  </c:pt>
                  <c:pt idx="2">
                    <c:v>3,00</c:v>
                  </c:pt>
                  <c:pt idx="3">
                    <c:v>4,00</c:v>
                  </c:pt>
                  <c:pt idx="4">
                    <c:v>5,00</c:v>
                  </c:pt>
                  <c:pt idx="5">
                    <c:v>6,00</c:v>
                  </c:pt>
                  <c:pt idx="6">
                    <c:v>7,00</c:v>
                  </c:pt>
                  <c:pt idx="7">
                    <c:v>8,00</c:v>
                  </c:pt>
                  <c:pt idx="8">
                    <c:v>9,00</c:v>
                  </c:pt>
                  <c:pt idx="9">
                    <c:v>10,00</c:v>
                  </c:pt>
                  <c:pt idx="10">
                    <c:v>11,00</c:v>
                  </c:pt>
                  <c:pt idx="11">
                    <c:v>12,00</c:v>
                  </c:pt>
                  <c:pt idx="12">
                    <c:v>13,00</c:v>
                  </c:pt>
                  <c:pt idx="13">
                    <c:v>14,00</c:v>
                  </c:pt>
                  <c:pt idx="14">
                    <c:v>15,00</c:v>
                  </c:pt>
                  <c:pt idx="15">
                    <c:v>16,00</c:v>
                  </c:pt>
                  <c:pt idx="16">
                    <c:v>17,00</c:v>
                  </c:pt>
                  <c:pt idx="17">
                    <c:v>18,00</c:v>
                  </c:pt>
                  <c:pt idx="18">
                    <c:v>19,00</c:v>
                  </c:pt>
                  <c:pt idx="19">
                    <c:v>20,00</c:v>
                  </c:pt>
                  <c:pt idx="20">
                    <c:v>21,00</c:v>
                  </c:pt>
                  <c:pt idx="21">
                    <c:v>22,00</c:v>
                  </c:pt>
                  <c:pt idx="22">
                    <c:v>23,00</c:v>
                  </c:pt>
                  <c:pt idx="23">
                    <c:v>24,00</c:v>
                  </c:pt>
                  <c:pt idx="24">
                    <c:v>25,00</c:v>
                  </c:pt>
                  <c:pt idx="25">
                    <c:v>26,00</c:v>
                  </c:pt>
                  <c:pt idx="26">
                    <c:v>27,00</c:v>
                  </c:pt>
                  <c:pt idx="27">
                    <c:v>28,00</c:v>
                  </c:pt>
                  <c:pt idx="28">
                    <c:v>29,00</c:v>
                  </c:pt>
                  <c:pt idx="29">
                    <c:v>30,00</c:v>
                  </c:pt>
                  <c:pt idx="30">
                    <c:v>31,00</c:v>
                  </c:pt>
                  <c:pt idx="31">
                    <c:v>32,00</c:v>
                  </c:pt>
                  <c:pt idx="32">
                    <c:v>33,00</c:v>
                  </c:pt>
                  <c:pt idx="33">
                    <c:v>34,00</c:v>
                  </c:pt>
                  <c:pt idx="34">
                    <c:v>35,00</c:v>
                  </c:pt>
                  <c:pt idx="35">
                    <c:v>36,00</c:v>
                  </c:pt>
                </c:lvl>
              </c:multiLvlStrCache>
            </c:multiLvlStrRef>
          </c:xVal>
          <c:yVal>
            <c:numRef>
              <c:f>elektronaffinitás!$H$2:$H$37</c:f>
              <c:numCache>
                <c:formatCode>General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-18</c:v>
                </c:pt>
                <c:pt idx="21">
                  <c:v>-7.28</c:v>
                </c:pt>
                <c:pt idx="22">
                  <c:v>-50.91</c:v>
                </c:pt>
                <c:pt idx="23">
                  <c:v>-65.209999999999994</c:v>
                </c:pt>
                <c:pt idx="24">
                  <c:v>50</c:v>
                </c:pt>
                <c:pt idx="25">
                  <c:v>-14.78</c:v>
                </c:pt>
                <c:pt idx="26">
                  <c:v>-63.89</c:v>
                </c:pt>
                <c:pt idx="27">
                  <c:v>-111.65</c:v>
                </c:pt>
                <c:pt idx="28">
                  <c:v>-119.23</c:v>
                </c:pt>
                <c:pt idx="29">
                  <c:v>58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E-483F-9FB4-8B8CABAB9F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42631855"/>
        <c:axId val="1142630895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elektronaffinitás!$I$1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hu-HU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multiLvlStrRef>
                    <c:extLst>
                      <c:ext uri="{02D57815-91ED-43cb-92C2-25804820EDAC}">
                        <c15:formulaRef>
                          <c15:sqref>elektronaffinitás!$A$2:$C$37</c15:sqref>
                        </c15:formulaRef>
                      </c:ext>
                    </c:extLst>
                    <c:multiLvlStrCache>
                      <c:ptCount val="36"/>
                      <c:lvl>
                        <c:pt idx="0">
                          <c:v>Hydrogen</c:v>
                        </c:pt>
                        <c:pt idx="1">
                          <c:v>Helium</c:v>
                        </c:pt>
                        <c:pt idx="2">
                          <c:v>Lithium</c:v>
                        </c:pt>
                        <c:pt idx="3">
                          <c:v>Beryllium</c:v>
                        </c:pt>
                        <c:pt idx="4">
                          <c:v>Boron</c:v>
                        </c:pt>
                        <c:pt idx="5">
                          <c:v>Carbon</c:v>
                        </c:pt>
                        <c:pt idx="6">
                          <c:v>Nitrogen</c:v>
                        </c:pt>
                        <c:pt idx="7">
                          <c:v>Oxygen</c:v>
                        </c:pt>
                        <c:pt idx="8">
                          <c:v>Fluorine</c:v>
                        </c:pt>
                        <c:pt idx="9">
                          <c:v>Neon</c:v>
                        </c:pt>
                        <c:pt idx="10">
                          <c:v>Sodium</c:v>
                        </c:pt>
                        <c:pt idx="11">
                          <c:v>Magnesium</c:v>
                        </c:pt>
                        <c:pt idx="12">
                          <c:v>Aluminum</c:v>
                        </c:pt>
                        <c:pt idx="13">
                          <c:v>Silicon</c:v>
                        </c:pt>
                        <c:pt idx="14">
                          <c:v>Phosphorus</c:v>
                        </c:pt>
                        <c:pt idx="15">
                          <c:v>Sulfur</c:v>
                        </c:pt>
                        <c:pt idx="16">
                          <c:v>Chlorine</c:v>
                        </c:pt>
                        <c:pt idx="17">
                          <c:v>Argon</c:v>
                        </c:pt>
                        <c:pt idx="18">
                          <c:v>Potassium</c:v>
                        </c:pt>
                        <c:pt idx="19">
                          <c:v>Calcium</c:v>
                        </c:pt>
                        <c:pt idx="20">
                          <c:v>Scandium</c:v>
                        </c:pt>
                        <c:pt idx="21">
                          <c:v>Titanium</c:v>
                        </c:pt>
                        <c:pt idx="22">
                          <c:v>Vanadium</c:v>
                        </c:pt>
                        <c:pt idx="23">
                          <c:v>Chromium</c:v>
                        </c:pt>
                        <c:pt idx="24">
                          <c:v>Manganese</c:v>
                        </c:pt>
                        <c:pt idx="25">
                          <c:v>Iron</c:v>
                        </c:pt>
                        <c:pt idx="26">
                          <c:v>Cobalt</c:v>
                        </c:pt>
                        <c:pt idx="27">
                          <c:v>Nickel</c:v>
                        </c:pt>
                        <c:pt idx="28">
                          <c:v>Copper</c:v>
                        </c:pt>
                        <c:pt idx="29">
                          <c:v>Zinc</c:v>
                        </c:pt>
                        <c:pt idx="30">
                          <c:v>Gallium</c:v>
                        </c:pt>
                        <c:pt idx="31">
                          <c:v>Germanium</c:v>
                        </c:pt>
                        <c:pt idx="32">
                          <c:v>Arsenic</c:v>
                        </c:pt>
                        <c:pt idx="33">
                          <c:v>Selenium</c:v>
                        </c:pt>
                        <c:pt idx="34">
                          <c:v>Bromine</c:v>
                        </c:pt>
                        <c:pt idx="35">
                          <c:v>Krypton</c:v>
                        </c:pt>
                      </c:lvl>
                      <c:lvl>
                        <c:pt idx="0">
                          <c:v>H</c:v>
                        </c:pt>
                        <c:pt idx="1">
                          <c:v>He</c:v>
                        </c:pt>
                        <c:pt idx="2">
                          <c:v>Li</c:v>
                        </c:pt>
                        <c:pt idx="3">
                          <c:v>Be</c:v>
                        </c:pt>
                        <c:pt idx="4">
                          <c:v>B</c:v>
                        </c:pt>
                        <c:pt idx="5">
                          <c:v>C</c:v>
                        </c:pt>
                        <c:pt idx="6">
                          <c:v>N</c:v>
                        </c:pt>
                        <c:pt idx="7">
                          <c:v>O</c:v>
                        </c:pt>
                        <c:pt idx="8">
                          <c:v>F</c:v>
                        </c:pt>
                        <c:pt idx="9">
                          <c:v>Ne</c:v>
                        </c:pt>
                        <c:pt idx="10">
                          <c:v>Na</c:v>
                        </c:pt>
                        <c:pt idx="11">
                          <c:v>Mg</c:v>
                        </c:pt>
                        <c:pt idx="12">
                          <c:v>Al</c:v>
                        </c:pt>
                        <c:pt idx="13">
                          <c:v>Si</c:v>
                        </c:pt>
                        <c:pt idx="14">
                          <c:v>P</c:v>
                        </c:pt>
                        <c:pt idx="15">
                          <c:v>S</c:v>
                        </c:pt>
                        <c:pt idx="16">
                          <c:v>Cl</c:v>
                        </c:pt>
                        <c:pt idx="17">
                          <c:v>Ar</c:v>
                        </c:pt>
                        <c:pt idx="18">
                          <c:v>K</c:v>
                        </c:pt>
                        <c:pt idx="19">
                          <c:v>Ca</c:v>
                        </c:pt>
                        <c:pt idx="20">
                          <c:v>Sc</c:v>
                        </c:pt>
                        <c:pt idx="21">
                          <c:v>Ti</c:v>
                        </c:pt>
                        <c:pt idx="22">
                          <c:v>V</c:v>
                        </c:pt>
                        <c:pt idx="23">
                          <c:v>Cr</c:v>
                        </c:pt>
                        <c:pt idx="24">
                          <c:v>Mn</c:v>
                        </c:pt>
                        <c:pt idx="25">
                          <c:v>Fe</c:v>
                        </c:pt>
                        <c:pt idx="26">
                          <c:v>Co</c:v>
                        </c:pt>
                        <c:pt idx="27">
                          <c:v>Ni</c:v>
                        </c:pt>
                        <c:pt idx="28">
                          <c:v>Cu</c:v>
                        </c:pt>
                        <c:pt idx="29">
                          <c:v>Zn</c:v>
                        </c:pt>
                        <c:pt idx="30">
                          <c:v>Ga</c:v>
                        </c:pt>
                        <c:pt idx="31">
                          <c:v>Ge</c:v>
                        </c:pt>
                        <c:pt idx="32">
                          <c:v>As</c:v>
                        </c:pt>
                        <c:pt idx="33">
                          <c:v>Se</c:v>
                        </c:pt>
                        <c:pt idx="34">
                          <c:v>Br</c:v>
                        </c:pt>
                        <c:pt idx="35">
                          <c:v>Kr</c:v>
                        </c:pt>
                      </c:lvl>
                      <c:lvl>
                        <c:pt idx="0">
                          <c:v>1,00</c:v>
                        </c:pt>
                        <c:pt idx="1">
                          <c:v>2,00</c:v>
                        </c:pt>
                        <c:pt idx="2">
                          <c:v>3,00</c:v>
                        </c:pt>
                        <c:pt idx="3">
                          <c:v>4,00</c:v>
                        </c:pt>
                        <c:pt idx="4">
                          <c:v>5,00</c:v>
                        </c:pt>
                        <c:pt idx="5">
                          <c:v>6,00</c:v>
                        </c:pt>
                        <c:pt idx="6">
                          <c:v>7,00</c:v>
                        </c:pt>
                        <c:pt idx="7">
                          <c:v>8,00</c:v>
                        </c:pt>
                        <c:pt idx="8">
                          <c:v>9,00</c:v>
                        </c:pt>
                        <c:pt idx="9">
                          <c:v>10,00</c:v>
                        </c:pt>
                        <c:pt idx="10">
                          <c:v>11,00</c:v>
                        </c:pt>
                        <c:pt idx="11">
                          <c:v>12,00</c:v>
                        </c:pt>
                        <c:pt idx="12">
                          <c:v>13,00</c:v>
                        </c:pt>
                        <c:pt idx="13">
                          <c:v>14,00</c:v>
                        </c:pt>
                        <c:pt idx="14">
                          <c:v>15,00</c:v>
                        </c:pt>
                        <c:pt idx="15">
                          <c:v>16,00</c:v>
                        </c:pt>
                        <c:pt idx="16">
                          <c:v>17,00</c:v>
                        </c:pt>
                        <c:pt idx="17">
                          <c:v>18,00</c:v>
                        </c:pt>
                        <c:pt idx="18">
                          <c:v>19,00</c:v>
                        </c:pt>
                        <c:pt idx="19">
                          <c:v>20,00</c:v>
                        </c:pt>
                        <c:pt idx="20">
                          <c:v>21,00</c:v>
                        </c:pt>
                        <c:pt idx="21">
                          <c:v>22,00</c:v>
                        </c:pt>
                        <c:pt idx="22">
                          <c:v>23,00</c:v>
                        </c:pt>
                        <c:pt idx="23">
                          <c:v>24,00</c:v>
                        </c:pt>
                        <c:pt idx="24">
                          <c:v>25,00</c:v>
                        </c:pt>
                        <c:pt idx="25">
                          <c:v>26,00</c:v>
                        </c:pt>
                        <c:pt idx="26">
                          <c:v>27,00</c:v>
                        </c:pt>
                        <c:pt idx="27">
                          <c:v>28,00</c:v>
                        </c:pt>
                        <c:pt idx="28">
                          <c:v>29,00</c:v>
                        </c:pt>
                        <c:pt idx="29">
                          <c:v>30,00</c:v>
                        </c:pt>
                        <c:pt idx="30">
                          <c:v>31,00</c:v>
                        </c:pt>
                        <c:pt idx="31">
                          <c:v>32,00</c:v>
                        </c:pt>
                        <c:pt idx="32">
                          <c:v>33,00</c:v>
                        </c:pt>
                        <c:pt idx="33">
                          <c:v>34,00</c:v>
                        </c:pt>
                        <c:pt idx="34">
                          <c:v>35,00</c:v>
                        </c:pt>
                        <c:pt idx="35">
                          <c:v>36,00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elektronaffinitás!$I$2:$I$37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EBE-483F-9FB4-8B8CABAB9F93}"/>
                  </c:ext>
                </c:extLst>
              </c15:ser>
            </c15:filteredScatterSeries>
          </c:ext>
        </c:extLst>
      </c:scatterChart>
      <c:valAx>
        <c:axId val="114263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2630895"/>
        <c:crosses val="autoZero"/>
        <c:crossBetween val="midCat"/>
      </c:valAx>
      <c:valAx>
        <c:axId val="114263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263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Elektronaffinitás az első 4 periódusban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elektronaffinitás!$F$1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75-43F4-93B2-E7E0857052A4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75-43F4-93B2-E7E0857052A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9915985-BBF6-48D2-A776-3D322195902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4A75-43F4-93B2-E7E0857052A4}"/>
                </c:ext>
              </c:extLst>
            </c:dLbl>
            <c:dLbl>
              <c:idx val="1"/>
              <c:layout>
                <c:manualLayout>
                  <c:x val="-3.7810795981596736E-2"/>
                  <c:y val="3.9750046907593796E-2"/>
                </c:manualLayout>
              </c:layout>
              <c:tx>
                <c:rich>
                  <a:bodyPr/>
                  <a:lstStyle/>
                  <a:p>
                    <a:fld id="{0657F480-AD02-4CCB-9E58-E57E8B119B3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4A75-43F4-93B2-E7E0857052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D981140-4C10-4C66-BF36-6228FB601A3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4A75-43F4-93B2-E7E0857052A4}"/>
                </c:ext>
              </c:extLst>
            </c:dLbl>
            <c:dLbl>
              <c:idx val="3"/>
              <c:layout>
                <c:manualLayout>
                  <c:x val="-1.9952053391800888E-2"/>
                  <c:y val="2.5732954148286861E-2"/>
                </c:manualLayout>
              </c:layout>
              <c:tx>
                <c:rich>
                  <a:bodyPr/>
                  <a:lstStyle/>
                  <a:p>
                    <a:fld id="{40105839-5E59-4CDC-BDDC-C5527178E972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4A75-43F4-93B2-E7E0857052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4A75-43F4-93B2-E7E0857052A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4A75-43F4-93B2-E7E0857052A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4A75-43F4-93B2-E7E0857052A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4A75-43F4-93B2-E7E0857052A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4A75-43F4-93B2-E7E0857052A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4A75-43F4-93B2-E7E0857052A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16CCA53-5684-488D-B6C0-B34B2663AA5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A75-43F4-93B2-E7E0857052A4}"/>
                </c:ext>
              </c:extLst>
            </c:dLbl>
            <c:dLbl>
              <c:idx val="11"/>
              <c:layout>
                <c:manualLayout>
                  <c:x val="-1.0494152331784396E-2"/>
                  <c:y val="2.3711328827750781E-3"/>
                </c:manualLayout>
              </c:layout>
              <c:tx>
                <c:rich>
                  <a:bodyPr/>
                  <a:lstStyle/>
                  <a:p>
                    <a:fld id="{B84362A0-CC89-42AD-922D-32D7F394578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4A75-43F4-93B2-E7E0857052A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4A75-43F4-93B2-E7E0857052A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4A75-43F4-93B2-E7E0857052A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4A75-43F4-93B2-E7E0857052A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4A75-43F4-93B2-E7E0857052A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4A75-43F4-93B2-E7E0857052A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4A75-43F4-93B2-E7E0857052A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5ED0190-8E0E-4C32-98B3-441D339F37AD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A75-43F4-93B2-E7E0857052A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FC47429-DBB5-4DBA-A5B0-630DF30A3CB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4A75-43F4-93B2-E7E0857052A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4A75-43F4-93B2-E7E0857052A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4A75-43F4-93B2-E7E0857052A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4A75-43F4-93B2-E7E0857052A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4A75-43F4-93B2-E7E0857052A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4A75-43F4-93B2-E7E0857052A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4A75-43F4-93B2-E7E0857052A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4A75-43F4-93B2-E7E0857052A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4A75-43F4-93B2-E7E0857052A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4A75-43F4-93B2-E7E0857052A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4A75-43F4-93B2-E7E0857052A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4A75-43F4-93B2-E7E0857052A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4A75-43F4-93B2-E7E0857052A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4A75-43F4-93B2-E7E0857052A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4A75-43F4-93B2-E7E0857052A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4A75-43F4-93B2-E7E0857052A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4A75-43F4-93B2-E7E085705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elektronaffinitás!$A$2:$C$37</c15:sqref>
                  </c15:fullRef>
                  <c15:levelRef>
                    <c15:sqref>elektronaffinitás!$B$2:$B$37</c15:sqref>
                  </c15:levelRef>
                </c:ext>
              </c:extLst>
              <c:f>elektronaffinitás!$B$2:$B$37</c:f>
              <c:strCache>
                <c:ptCount val="36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</c:strCache>
            </c:strRef>
          </c:cat>
          <c:val>
            <c:numRef>
              <c:f>elektronaffinitás!$F$2:$F$37</c:f>
              <c:numCache>
                <c:formatCode>General</c:formatCode>
                <c:ptCount val="36"/>
                <c:pt idx="0">
                  <c:v>-72.78</c:v>
                </c:pt>
                <c:pt idx="1">
                  <c:v>48</c:v>
                </c:pt>
                <c:pt idx="2">
                  <c:v>-59.63</c:v>
                </c:pt>
                <c:pt idx="3">
                  <c:v>48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-52.87</c:v>
                </c:pt>
                <c:pt idx="11">
                  <c:v>40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-48.38</c:v>
                </c:pt>
                <c:pt idx="19">
                  <c:v>-2.37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elektronaffinitás!$J$2:$J$37</c15:f>
                <c15:dlblRangeCache>
                  <c:ptCount val="36"/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3">
                    <c:v>Be</c:v>
                  </c:pt>
                  <c:pt idx="4">
                    <c:v>B</c:v>
                  </c:pt>
                  <c:pt idx="5">
                    <c:v>C</c:v>
                  </c:pt>
                  <c:pt idx="6">
                    <c:v>N</c:v>
                  </c:pt>
                  <c:pt idx="8">
                    <c:v>F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6">
                    <c:v>Cl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3">
                    <c:v>Cr</c:v>
                  </c:pt>
                  <c:pt idx="24">
                    <c:v>Mn</c:v>
                  </c:pt>
                  <c:pt idx="28">
                    <c:v>Cu</c:v>
                  </c:pt>
                  <c:pt idx="29">
                    <c:v>Zn</c:v>
                  </c:pt>
                  <c:pt idx="34">
                    <c:v>Br</c:v>
                  </c:pt>
                  <c:pt idx="35">
                    <c:v>Kr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4A75-43F4-93B2-E7E0857052A4}"/>
            </c:ext>
          </c:extLst>
        </c:ser>
        <c:ser>
          <c:idx val="1"/>
          <c:order val="1"/>
          <c:tx>
            <c:strRef>
              <c:f>elektronaffinitás!$G$1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A75-43F4-93B2-E7E0857052A4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A75-43F4-93B2-E7E0857052A4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A75-43F4-93B2-E7E0857052A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A75-43F4-93B2-E7E0857052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A75-43F4-93B2-E7E0857052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A75-43F4-93B2-E7E0857052A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A75-43F4-93B2-E7E0857052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E954C83-8986-4E32-90B9-FD9FBE384B9F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A75-43F4-93B2-E7E0857052A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6C0946-7D79-4FFF-9A0A-3FED57B6AD69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A75-43F4-93B2-E7E0857052A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E40F28-657D-4DFE-8314-A1017FBBD459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A75-43F4-93B2-E7E0857052A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DD4C042-D1F3-4A86-AD47-6E5B2702F60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A75-43F4-93B2-E7E0857052A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C87943-F986-432E-9F26-B034DB5C2569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A75-43F4-93B2-E7E0857052A4}"/>
                </c:ext>
              </c:extLst>
            </c:dLbl>
            <c:dLbl>
              <c:idx val="9"/>
              <c:layout>
                <c:manualLayout>
                  <c:x val="-4.4091604524810566E-3"/>
                  <c:y val="7.0434971358773321E-3"/>
                </c:manualLayout>
              </c:layout>
              <c:tx>
                <c:rich>
                  <a:bodyPr/>
                  <a:lstStyle/>
                  <a:p>
                    <a:fld id="{5245EC98-E5D4-4ADE-AF38-663992C57423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4A75-43F4-93B2-E7E0857052A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A75-43F4-93B2-E7E0857052A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A75-43F4-93B2-E7E0857052A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0596CC8-E894-404E-A2EE-F3015801A298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A75-43F4-93B2-E7E0857052A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FFABE2F-20F5-4D53-9531-590321DB4C6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A75-43F4-93B2-E7E0857052A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F16C4F1-B7C6-4EBA-B790-F7AD713993D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A75-43F4-93B2-E7E0857052A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D2E1282-F923-4110-A84E-04EDE7B705D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A75-43F4-93B2-E7E0857052A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68BEEB7-B894-4012-8841-C116BDBBB1BE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A75-43F4-93B2-E7E0857052A4}"/>
                </c:ext>
              </c:extLst>
            </c:dLbl>
            <c:dLbl>
              <c:idx val="17"/>
              <c:layout>
                <c:manualLayout>
                  <c:x val="-6.3841927326609713E-3"/>
                  <c:y val="2.3711328827751635E-3"/>
                </c:manualLayout>
              </c:layout>
              <c:tx>
                <c:rich>
                  <a:bodyPr/>
                  <a:lstStyle/>
                  <a:p>
                    <a:fld id="{2B5441EA-777C-4DD2-A570-A5B50A8949B4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4A75-43F4-93B2-E7E0857052A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A75-43F4-93B2-E7E0857052A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A75-43F4-93B2-E7E0857052A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A75-43F4-93B2-E7E0857052A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A75-43F4-93B2-E7E0857052A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A75-43F4-93B2-E7E0857052A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A75-43F4-93B2-E7E0857052A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A75-43F4-93B2-E7E0857052A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A75-43F4-93B2-E7E0857052A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A75-43F4-93B2-E7E0857052A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A75-43F4-93B2-E7E0857052A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A75-43F4-93B2-E7E0857052A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A75-43F4-93B2-E7E0857052A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04526B2-AB19-4C6A-B709-D27D71C83A0C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A75-43F4-93B2-E7E0857052A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29AE702-CD05-42D1-8865-FF0D7897F62D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A75-43F4-93B2-E7E0857052A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5F9B7F7-83A3-402A-81D3-A287942FA58F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A75-43F4-93B2-E7E0857052A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D3091D4-DE5B-4318-98CC-2B94D8C32D7E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A75-43F4-93B2-E7E0857052A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2ADE2D4-4109-45EB-B2ED-2A82D6930B7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A75-43F4-93B2-E7E0857052A4}"/>
                </c:ext>
              </c:extLst>
            </c:dLbl>
            <c:dLbl>
              <c:idx val="35"/>
              <c:layout>
                <c:manualLayout>
                  <c:x val="-5.9084064269044209E-2"/>
                  <c:y val="1.1715861388979842E-2"/>
                </c:manualLayout>
              </c:layout>
              <c:tx>
                <c:rich>
                  <a:bodyPr/>
                  <a:lstStyle/>
                  <a:p>
                    <a:fld id="{E330589F-EE9F-49C1-8FB9-171C9979EDD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4A75-43F4-93B2-E7E085705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elektronaffinitás!$A$2:$C$37</c15:sqref>
                  </c15:fullRef>
                  <c15:levelRef>
                    <c15:sqref>elektronaffinitás!$B$2:$B$37</c15:sqref>
                  </c15:levelRef>
                </c:ext>
              </c:extLst>
              <c:f>elektronaffinitás!$B$2:$B$37</c:f>
              <c:strCache>
                <c:ptCount val="36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</c:strCache>
            </c:strRef>
          </c:cat>
          <c:val>
            <c:numRef>
              <c:f>elektronaffinitás!$G$2:$G$37</c:f>
              <c:numCache>
                <c:formatCode>General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-26.99</c:v>
                </c:pt>
                <c:pt idx="5">
                  <c:v>-121.77</c:v>
                </c:pt>
                <c:pt idx="6">
                  <c:v>6.8</c:v>
                </c:pt>
                <c:pt idx="7">
                  <c:v>-140.97999999999999</c:v>
                </c:pt>
                <c:pt idx="8">
                  <c:v>-328.16</c:v>
                </c:pt>
                <c:pt idx="9">
                  <c:v>116</c:v>
                </c:pt>
                <c:pt idx="10">
                  <c:v>#N/A</c:v>
                </c:pt>
                <c:pt idx="11">
                  <c:v>#N/A</c:v>
                </c:pt>
                <c:pt idx="12">
                  <c:v>-41.76</c:v>
                </c:pt>
                <c:pt idx="13">
                  <c:v>-134.06</c:v>
                </c:pt>
                <c:pt idx="14">
                  <c:v>-72.040000000000006</c:v>
                </c:pt>
                <c:pt idx="15">
                  <c:v>-200.4</c:v>
                </c:pt>
                <c:pt idx="16">
                  <c:v>-348.57</c:v>
                </c:pt>
                <c:pt idx="17">
                  <c:v>96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-29.06</c:v>
                </c:pt>
                <c:pt idx="31">
                  <c:v>-118.93</c:v>
                </c:pt>
                <c:pt idx="32">
                  <c:v>-77.650000000000006</c:v>
                </c:pt>
                <c:pt idx="33">
                  <c:v>-194.95</c:v>
                </c:pt>
                <c:pt idx="34">
                  <c:v>-324.52999999999997</c:v>
                </c:pt>
                <c:pt idx="35">
                  <c:v>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elektronaffinitás!$J$2:$J$37</c15:f>
                <c15:dlblRangeCache>
                  <c:ptCount val="36"/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3">
                    <c:v>Be</c:v>
                  </c:pt>
                  <c:pt idx="4">
                    <c:v>B</c:v>
                  </c:pt>
                  <c:pt idx="5">
                    <c:v>C</c:v>
                  </c:pt>
                  <c:pt idx="6">
                    <c:v>N</c:v>
                  </c:pt>
                  <c:pt idx="8">
                    <c:v>F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6">
                    <c:v>Cl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3">
                    <c:v>Cr</c:v>
                  </c:pt>
                  <c:pt idx="24">
                    <c:v>Mn</c:v>
                  </c:pt>
                  <c:pt idx="28">
                    <c:v>Cu</c:v>
                  </c:pt>
                  <c:pt idx="29">
                    <c:v>Zn</c:v>
                  </c:pt>
                  <c:pt idx="34">
                    <c:v>Br</c:v>
                  </c:pt>
                  <c:pt idx="35">
                    <c:v>Kr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4A75-43F4-93B2-E7E0857052A4}"/>
            </c:ext>
          </c:extLst>
        </c:ser>
        <c:ser>
          <c:idx val="2"/>
          <c:order val="2"/>
          <c:tx>
            <c:strRef>
              <c:f>elektronaffinitás!$H$1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solidFill>
                <a:schemeClr val="accent5">
                  <a:alpha val="81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A75-43F4-93B2-E7E0857052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A75-43F4-93B2-E7E0857052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A75-43F4-93B2-E7E0857052A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A75-43F4-93B2-E7E0857052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4A75-43F4-93B2-E7E0857052A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A75-43F4-93B2-E7E0857052A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4A75-43F4-93B2-E7E0857052A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A75-43F4-93B2-E7E0857052A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4A75-43F4-93B2-E7E0857052A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4A75-43F4-93B2-E7E0857052A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4A75-43F4-93B2-E7E0857052A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4A75-43F4-93B2-E7E0857052A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4A75-43F4-93B2-E7E0857052A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4A75-43F4-93B2-E7E0857052A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4A75-43F4-93B2-E7E0857052A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4A75-43F4-93B2-E7E0857052A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4A75-43F4-93B2-E7E0857052A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4A75-43F4-93B2-E7E0857052A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4A75-43F4-93B2-E7E0857052A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4A75-43F4-93B2-E7E0857052A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1820E71-E8F8-44C9-A86D-29C3C426869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4A75-43F4-93B2-E7E0857052A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9D69126-9F4E-40D2-A052-BD51D83FD3E8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4A75-43F4-93B2-E7E0857052A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E9198C6-7062-447F-9E12-534FB3F59F7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4A75-43F4-93B2-E7E0857052A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546D294-EE34-4219-ABE2-361A5947D57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4A75-43F4-93B2-E7E0857052A4}"/>
                </c:ext>
              </c:extLst>
            </c:dLbl>
            <c:dLbl>
              <c:idx val="24"/>
              <c:layout>
                <c:manualLayout>
                  <c:x val="-3.902775055059747E-2"/>
                  <c:y val="4.4422411160696222E-2"/>
                </c:manualLayout>
              </c:layout>
              <c:tx>
                <c:rich>
                  <a:bodyPr/>
                  <a:lstStyle/>
                  <a:p>
                    <a:fld id="{83972542-E5FF-4DE2-AAC4-34D8DE05590B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4A75-43F4-93B2-E7E0857052A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914941B-337B-4FEC-BC0C-F4F150DF98DE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4A75-43F4-93B2-E7E0857052A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3318531-195B-431B-A3C5-A9D41801CA0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4A75-43F4-93B2-E7E0857052A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3C59D67-3E71-4F8E-A04C-348D9E9507C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4A75-43F4-93B2-E7E0857052A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ECC5840-3E16-4551-83EE-B28DD05722A2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4A75-43F4-93B2-E7E0857052A4}"/>
                </c:ext>
              </c:extLst>
            </c:dLbl>
            <c:dLbl>
              <c:idx val="29"/>
              <c:layout>
                <c:manualLayout>
                  <c:x val="-3.3088854549178127E-2"/>
                  <c:y val="3.9750046907593879E-2"/>
                </c:manualLayout>
              </c:layout>
              <c:tx>
                <c:rich>
                  <a:bodyPr/>
                  <a:lstStyle/>
                  <a:p>
                    <a:fld id="{42308C93-87A9-4ADF-BE0C-2C212A316900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4A75-43F4-93B2-E7E0857052A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4A75-43F4-93B2-E7E0857052A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4A75-43F4-93B2-E7E0857052A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4A75-43F4-93B2-E7E0857052A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4A75-43F4-93B2-E7E0857052A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4A75-43F4-93B2-E7E0857052A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4A75-43F4-93B2-E7E085705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elektronaffinitás!$A$2:$C$37</c15:sqref>
                  </c15:fullRef>
                  <c15:levelRef>
                    <c15:sqref>elektronaffinitás!$B$2:$B$37</c15:sqref>
                  </c15:levelRef>
                </c:ext>
              </c:extLst>
              <c:f>elektronaffinitás!$B$2:$B$37</c:f>
              <c:strCache>
                <c:ptCount val="36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</c:strCache>
            </c:strRef>
          </c:cat>
          <c:val>
            <c:numRef>
              <c:f>elektronaffinitás!$H$2:$H$37</c:f>
              <c:numCache>
                <c:formatCode>General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-18</c:v>
                </c:pt>
                <c:pt idx="21">
                  <c:v>-7.28</c:v>
                </c:pt>
                <c:pt idx="22">
                  <c:v>-50.91</c:v>
                </c:pt>
                <c:pt idx="23">
                  <c:v>-65.209999999999994</c:v>
                </c:pt>
                <c:pt idx="24">
                  <c:v>50</c:v>
                </c:pt>
                <c:pt idx="25">
                  <c:v>-14.78</c:v>
                </c:pt>
                <c:pt idx="26">
                  <c:v>-63.89</c:v>
                </c:pt>
                <c:pt idx="27">
                  <c:v>-111.65</c:v>
                </c:pt>
                <c:pt idx="28">
                  <c:v>-119.23</c:v>
                </c:pt>
                <c:pt idx="29">
                  <c:v>58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elektronaffinitás!$J$2:$J$37</c15:f>
                <c15:dlblRangeCache>
                  <c:ptCount val="36"/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3">
                    <c:v>Be</c:v>
                  </c:pt>
                  <c:pt idx="4">
                    <c:v>B</c:v>
                  </c:pt>
                  <c:pt idx="5">
                    <c:v>C</c:v>
                  </c:pt>
                  <c:pt idx="6">
                    <c:v>N</c:v>
                  </c:pt>
                  <c:pt idx="8">
                    <c:v>F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6">
                    <c:v>Cl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3">
                    <c:v>Cr</c:v>
                  </c:pt>
                  <c:pt idx="24">
                    <c:v>Mn</c:v>
                  </c:pt>
                  <c:pt idx="28">
                    <c:v>Cu</c:v>
                  </c:pt>
                  <c:pt idx="29">
                    <c:v>Zn</c:v>
                  </c:pt>
                  <c:pt idx="34">
                    <c:v>Br</c:v>
                  </c:pt>
                  <c:pt idx="35">
                    <c:v>Kr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4A75-43F4-93B2-E7E0857052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2631855"/>
        <c:axId val="114263089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elektronaffinitás!$I$1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hu-HU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elektronaffinitás!$A$2:$C$37</c15:sqref>
                        </c15:fullRef>
                        <c15:levelRef>
                          <c15:sqref>elektronaffinitás!$B$2:$B$37</c15:sqref>
                        </c15:levelRef>
                        <c15:formulaRef>
                          <c15:sqref>elektronaffinitás!$B$2:$B$37</c15:sqref>
                        </c15:formulaRef>
                      </c:ext>
                    </c:extLst>
                    <c:strCache>
                      <c:ptCount val="36"/>
                      <c:pt idx="0">
                        <c:v>H</c:v>
                      </c:pt>
                      <c:pt idx="1">
                        <c:v>He</c:v>
                      </c:pt>
                      <c:pt idx="2">
                        <c:v>Li</c:v>
                      </c:pt>
                      <c:pt idx="3">
                        <c:v>Be</c:v>
                      </c:pt>
                      <c:pt idx="4">
                        <c:v>B</c:v>
                      </c:pt>
                      <c:pt idx="5">
                        <c:v>C</c:v>
                      </c:pt>
                      <c:pt idx="6">
                        <c:v>N</c:v>
                      </c:pt>
                      <c:pt idx="7">
                        <c:v>O</c:v>
                      </c:pt>
                      <c:pt idx="8">
                        <c:v>F</c:v>
                      </c:pt>
                      <c:pt idx="9">
                        <c:v>Ne</c:v>
                      </c:pt>
                      <c:pt idx="10">
                        <c:v>Na</c:v>
                      </c:pt>
                      <c:pt idx="11">
                        <c:v>Mg</c:v>
                      </c:pt>
                      <c:pt idx="12">
                        <c:v>Al</c:v>
                      </c:pt>
                      <c:pt idx="13">
                        <c:v>Si</c:v>
                      </c:pt>
                      <c:pt idx="14">
                        <c:v>P</c:v>
                      </c:pt>
                      <c:pt idx="15">
                        <c:v>S</c:v>
                      </c:pt>
                      <c:pt idx="16">
                        <c:v>Cl</c:v>
                      </c:pt>
                      <c:pt idx="17">
                        <c:v>Ar</c:v>
                      </c:pt>
                      <c:pt idx="18">
                        <c:v>K</c:v>
                      </c:pt>
                      <c:pt idx="19">
                        <c:v>Ca</c:v>
                      </c:pt>
                      <c:pt idx="20">
                        <c:v>Sc</c:v>
                      </c:pt>
                      <c:pt idx="21">
                        <c:v>Ti</c:v>
                      </c:pt>
                      <c:pt idx="22">
                        <c:v>V</c:v>
                      </c:pt>
                      <c:pt idx="23">
                        <c:v>Cr</c:v>
                      </c:pt>
                      <c:pt idx="24">
                        <c:v>Mn</c:v>
                      </c:pt>
                      <c:pt idx="25">
                        <c:v>Fe</c:v>
                      </c:pt>
                      <c:pt idx="26">
                        <c:v>Co</c:v>
                      </c:pt>
                      <c:pt idx="27">
                        <c:v>Ni</c:v>
                      </c:pt>
                      <c:pt idx="28">
                        <c:v>Cu</c:v>
                      </c:pt>
                      <c:pt idx="29">
                        <c:v>Zn</c:v>
                      </c:pt>
                      <c:pt idx="30">
                        <c:v>Ga</c:v>
                      </c:pt>
                      <c:pt idx="31">
                        <c:v>Ge</c:v>
                      </c:pt>
                      <c:pt idx="32">
                        <c:v>As</c:v>
                      </c:pt>
                      <c:pt idx="33">
                        <c:v>Se</c:v>
                      </c:pt>
                      <c:pt idx="34">
                        <c:v>Br</c:v>
                      </c:pt>
                      <c:pt idx="35">
                        <c:v>Kr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elektronaffinitás!$I$2:$I$37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4A75-43F4-93B2-E7E0857052A4}"/>
                  </c:ext>
                </c:extLst>
              </c15:ser>
            </c15:filteredLineSeries>
          </c:ext>
        </c:extLst>
      </c:lineChart>
      <c:catAx>
        <c:axId val="11426318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2630895"/>
        <c:crosses val="autoZero"/>
        <c:auto val="1"/>
        <c:lblAlgn val="ctr"/>
        <c:lblOffset val="100"/>
        <c:noMultiLvlLbl val="0"/>
      </c:catAx>
      <c:valAx>
        <c:axId val="11426308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263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elemek elektronaffinitása.</a:t>
            </a:r>
            <a:r>
              <a:rPr lang="hu-HU" baseline="0"/>
              <a:t> Vedd észre, hogy az előjel is változik!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elektronaffinitás!$D$1</c:f>
              <c:strCache>
                <c:ptCount val="1"/>
                <c:pt idx="0">
                  <c:v>összes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elektronaffinitás!$A$2:$C$104</c15:sqref>
                  </c15:fullRef>
                  <c15:levelRef>
                    <c15:sqref>elektronaffinitás!$B$2:$B$104</c15:sqref>
                  </c15:levelRef>
                </c:ext>
              </c:extLst>
              <c:f>elektronaffinitás!$B$2:$B$104</c:f>
              <c:strCache>
                <c:ptCount val="103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  <c:pt idx="38">
                  <c:v>Y</c:v>
                </c:pt>
                <c:pt idx="39">
                  <c:v>Zr</c:v>
                </c:pt>
                <c:pt idx="40">
                  <c:v>Nb</c:v>
                </c:pt>
                <c:pt idx="41">
                  <c:v>Mo</c:v>
                </c:pt>
                <c:pt idx="42">
                  <c:v>Tc</c:v>
                </c:pt>
                <c:pt idx="43">
                  <c:v>Ru</c:v>
                </c:pt>
                <c:pt idx="44">
                  <c:v>Rh</c:v>
                </c:pt>
                <c:pt idx="45">
                  <c:v>Pd</c:v>
                </c:pt>
                <c:pt idx="46">
                  <c:v>Ag</c:v>
                </c:pt>
                <c:pt idx="47">
                  <c:v>Cd</c:v>
                </c:pt>
                <c:pt idx="48">
                  <c:v>In</c:v>
                </c:pt>
                <c:pt idx="49">
                  <c:v>Sn</c:v>
                </c:pt>
                <c:pt idx="50">
                  <c:v>Sb</c:v>
                </c:pt>
                <c:pt idx="51">
                  <c:v>Te</c:v>
                </c:pt>
                <c:pt idx="52">
                  <c:v>I</c:v>
                </c:pt>
                <c:pt idx="53">
                  <c:v>Xe</c:v>
                </c:pt>
                <c:pt idx="54">
                  <c:v>Cs</c:v>
                </c:pt>
                <c:pt idx="55">
                  <c:v>Ba</c:v>
                </c:pt>
                <c:pt idx="56">
                  <c:v>La</c:v>
                </c:pt>
                <c:pt idx="57">
                  <c:v>Ce</c:v>
                </c:pt>
                <c:pt idx="58">
                  <c:v>Pr</c:v>
                </c:pt>
                <c:pt idx="59">
                  <c:v>Nd</c:v>
                </c:pt>
                <c:pt idx="60">
                  <c:v>Pm</c:v>
                </c:pt>
                <c:pt idx="61">
                  <c:v>Sm</c:v>
                </c:pt>
                <c:pt idx="62">
                  <c:v>Eu</c:v>
                </c:pt>
                <c:pt idx="63">
                  <c:v>Gd</c:v>
                </c:pt>
                <c:pt idx="64">
                  <c:v>Tb</c:v>
                </c:pt>
                <c:pt idx="65">
                  <c:v>Dy</c:v>
                </c:pt>
                <c:pt idx="66">
                  <c:v>Ho</c:v>
                </c:pt>
                <c:pt idx="67">
                  <c:v>Er</c:v>
                </c:pt>
                <c:pt idx="68">
                  <c:v>Tm</c:v>
                </c:pt>
                <c:pt idx="69">
                  <c:v>Yb</c:v>
                </c:pt>
                <c:pt idx="70">
                  <c:v>Lu</c:v>
                </c:pt>
                <c:pt idx="71">
                  <c:v>Hf</c:v>
                </c:pt>
                <c:pt idx="72">
                  <c:v>Ta</c:v>
                </c:pt>
                <c:pt idx="73">
                  <c:v>W</c:v>
                </c:pt>
                <c:pt idx="74">
                  <c:v>Re</c:v>
                </c:pt>
                <c:pt idx="75">
                  <c:v>Os</c:v>
                </c:pt>
                <c:pt idx="76">
                  <c:v>Ir</c:v>
                </c:pt>
                <c:pt idx="77">
                  <c:v>Pt</c:v>
                </c:pt>
                <c:pt idx="78">
                  <c:v>Au</c:v>
                </c:pt>
                <c:pt idx="79">
                  <c:v>Hg</c:v>
                </c:pt>
                <c:pt idx="80">
                  <c:v>Tl</c:v>
                </c:pt>
                <c:pt idx="81">
                  <c:v>Pb</c:v>
                </c:pt>
                <c:pt idx="82">
                  <c:v>Bi</c:v>
                </c:pt>
                <c:pt idx="83">
                  <c:v>Po</c:v>
                </c:pt>
                <c:pt idx="84">
                  <c:v>At</c:v>
                </c:pt>
                <c:pt idx="85">
                  <c:v>Rn</c:v>
                </c:pt>
                <c:pt idx="86">
                  <c:v>Fr</c:v>
                </c:pt>
                <c:pt idx="87">
                  <c:v>Ra</c:v>
                </c:pt>
                <c:pt idx="88">
                  <c:v>Ac</c:v>
                </c:pt>
                <c:pt idx="89">
                  <c:v>Th</c:v>
                </c:pt>
                <c:pt idx="90">
                  <c:v>Pa</c:v>
                </c:pt>
                <c:pt idx="91">
                  <c:v>U</c:v>
                </c:pt>
                <c:pt idx="92">
                  <c:v>Np</c:v>
                </c:pt>
                <c:pt idx="93">
                  <c:v>Pu</c:v>
                </c:pt>
                <c:pt idx="94">
                  <c:v>Am</c:v>
                </c:pt>
                <c:pt idx="95">
                  <c:v>Cm</c:v>
                </c:pt>
                <c:pt idx="96">
                  <c:v>Bk</c:v>
                </c:pt>
                <c:pt idx="97">
                  <c:v>Cf</c:v>
                </c:pt>
                <c:pt idx="98">
                  <c:v>Es</c:v>
                </c:pt>
                <c:pt idx="99">
                  <c:v>Fm</c:v>
                </c:pt>
                <c:pt idx="100">
                  <c:v>Md</c:v>
                </c:pt>
                <c:pt idx="101">
                  <c:v>No</c:v>
                </c:pt>
                <c:pt idx="102">
                  <c:v>Lr</c:v>
                </c:pt>
              </c:strCache>
            </c:strRef>
          </c:cat>
          <c:val>
            <c:numRef>
              <c:f>elektronaffinitás!$D$2:$D$104</c:f>
              <c:numCache>
                <c:formatCode>0.00</c:formatCode>
                <c:ptCount val="103"/>
                <c:pt idx="0">
                  <c:v>-72.78</c:v>
                </c:pt>
                <c:pt idx="1">
                  <c:v>48</c:v>
                </c:pt>
                <c:pt idx="2">
                  <c:v>-59.63</c:v>
                </c:pt>
                <c:pt idx="3">
                  <c:v>48</c:v>
                </c:pt>
                <c:pt idx="4">
                  <c:v>-26.99</c:v>
                </c:pt>
                <c:pt idx="5">
                  <c:v>-121.77</c:v>
                </c:pt>
                <c:pt idx="6">
                  <c:v>6.8</c:v>
                </c:pt>
                <c:pt idx="7">
                  <c:v>-140.97999999999999</c:v>
                </c:pt>
                <c:pt idx="8">
                  <c:v>-328.16</c:v>
                </c:pt>
                <c:pt idx="9">
                  <c:v>116</c:v>
                </c:pt>
                <c:pt idx="10">
                  <c:v>-52.87</c:v>
                </c:pt>
                <c:pt idx="11">
                  <c:v>40</c:v>
                </c:pt>
                <c:pt idx="12">
                  <c:v>-41.76</c:v>
                </c:pt>
                <c:pt idx="13">
                  <c:v>-134.06</c:v>
                </c:pt>
                <c:pt idx="14">
                  <c:v>-72.040000000000006</c:v>
                </c:pt>
                <c:pt idx="15">
                  <c:v>-200.4</c:v>
                </c:pt>
                <c:pt idx="16">
                  <c:v>-348.57</c:v>
                </c:pt>
                <c:pt idx="17">
                  <c:v>96</c:v>
                </c:pt>
                <c:pt idx="18">
                  <c:v>-48.38</c:v>
                </c:pt>
                <c:pt idx="19">
                  <c:v>-2.37</c:v>
                </c:pt>
                <c:pt idx="20">
                  <c:v>-18</c:v>
                </c:pt>
                <c:pt idx="21">
                  <c:v>-7.28</c:v>
                </c:pt>
                <c:pt idx="22">
                  <c:v>-50.91</c:v>
                </c:pt>
                <c:pt idx="23">
                  <c:v>-65.209999999999994</c:v>
                </c:pt>
                <c:pt idx="24">
                  <c:v>50</c:v>
                </c:pt>
                <c:pt idx="25">
                  <c:v>-14.78</c:v>
                </c:pt>
                <c:pt idx="26">
                  <c:v>-63.89</c:v>
                </c:pt>
                <c:pt idx="27">
                  <c:v>-111.65</c:v>
                </c:pt>
                <c:pt idx="28">
                  <c:v>-119.23</c:v>
                </c:pt>
                <c:pt idx="29">
                  <c:v>58</c:v>
                </c:pt>
                <c:pt idx="30">
                  <c:v>-29.06</c:v>
                </c:pt>
                <c:pt idx="31">
                  <c:v>-118.93</c:v>
                </c:pt>
                <c:pt idx="32">
                  <c:v>-77.650000000000006</c:v>
                </c:pt>
                <c:pt idx="33">
                  <c:v>-194.95</c:v>
                </c:pt>
                <c:pt idx="34">
                  <c:v>-324.52999999999997</c:v>
                </c:pt>
                <c:pt idx="35">
                  <c:v>96</c:v>
                </c:pt>
                <c:pt idx="36">
                  <c:v>-46.88</c:v>
                </c:pt>
                <c:pt idx="37">
                  <c:v>-5.0199999999999996</c:v>
                </c:pt>
                <c:pt idx="38">
                  <c:v>-29.6</c:v>
                </c:pt>
                <c:pt idx="39">
                  <c:v>-41.8</c:v>
                </c:pt>
                <c:pt idx="40">
                  <c:v>-88.51</c:v>
                </c:pt>
                <c:pt idx="41">
                  <c:v>-72.099999999999994</c:v>
                </c:pt>
                <c:pt idx="42">
                  <c:v>-53</c:v>
                </c:pt>
                <c:pt idx="43">
                  <c:v>-100.27</c:v>
                </c:pt>
                <c:pt idx="44">
                  <c:v>-110.27</c:v>
                </c:pt>
                <c:pt idx="45">
                  <c:v>-54.24</c:v>
                </c:pt>
                <c:pt idx="46">
                  <c:v>-125.86</c:v>
                </c:pt>
                <c:pt idx="47">
                  <c:v>68</c:v>
                </c:pt>
                <c:pt idx="48">
                  <c:v>-37.04</c:v>
                </c:pt>
                <c:pt idx="49">
                  <c:v>-107.29</c:v>
                </c:pt>
                <c:pt idx="50">
                  <c:v>-101.05</c:v>
                </c:pt>
                <c:pt idx="51">
                  <c:v>-190.16</c:v>
                </c:pt>
                <c:pt idx="52">
                  <c:v>-295.14999999999998</c:v>
                </c:pt>
                <c:pt idx="53">
                  <c:v>77</c:v>
                </c:pt>
                <c:pt idx="54">
                  <c:v>-45.5</c:v>
                </c:pt>
                <c:pt idx="55">
                  <c:v>-13.95</c:v>
                </c:pt>
                <c:pt idx="56">
                  <c:v>-53.79</c:v>
                </c:pt>
                <c:pt idx="57">
                  <c:v>-55</c:v>
                </c:pt>
                <c:pt idx="58">
                  <c:v>-10.53</c:v>
                </c:pt>
                <c:pt idx="59">
                  <c:v>-9.4</c:v>
                </c:pt>
                <c:pt idx="60">
                  <c:v>-12.45</c:v>
                </c:pt>
                <c:pt idx="61">
                  <c:v>-15.63</c:v>
                </c:pt>
                <c:pt idx="62">
                  <c:v>-11.2</c:v>
                </c:pt>
                <c:pt idx="63">
                  <c:v>-13.22</c:v>
                </c:pt>
                <c:pt idx="64">
                  <c:v>-12.67</c:v>
                </c:pt>
                <c:pt idx="65">
                  <c:v>-33.96</c:v>
                </c:pt>
                <c:pt idx="66">
                  <c:v>-32.61</c:v>
                </c:pt>
                <c:pt idx="67">
                  <c:v>-30.1</c:v>
                </c:pt>
                <c:pt idx="68">
                  <c:v>-99</c:v>
                </c:pt>
                <c:pt idx="69">
                  <c:v>1.93</c:v>
                </c:pt>
                <c:pt idx="70">
                  <c:v>-23.04</c:v>
                </c:pt>
                <c:pt idx="71">
                  <c:v>-17.18</c:v>
                </c:pt>
                <c:pt idx="72">
                  <c:v>-31</c:v>
                </c:pt>
                <c:pt idx="73">
                  <c:v>-78.760000000000005</c:v>
                </c:pt>
                <c:pt idx="74">
                  <c:v>-5.82</c:v>
                </c:pt>
                <c:pt idx="75">
                  <c:v>-104</c:v>
                </c:pt>
                <c:pt idx="76">
                  <c:v>-150.94</c:v>
                </c:pt>
                <c:pt idx="77">
                  <c:v>-205.04</c:v>
                </c:pt>
                <c:pt idx="78">
                  <c:v>-222.75</c:v>
                </c:pt>
                <c:pt idx="79">
                  <c:v>48</c:v>
                </c:pt>
                <c:pt idx="80">
                  <c:v>-30.88</c:v>
                </c:pt>
                <c:pt idx="81">
                  <c:v>-34.409999999999997</c:v>
                </c:pt>
                <c:pt idx="82">
                  <c:v>-90.92</c:v>
                </c:pt>
                <c:pt idx="83">
                  <c:v>-136</c:v>
                </c:pt>
                <c:pt idx="84">
                  <c:v>-233</c:v>
                </c:pt>
                <c:pt idx="85">
                  <c:v>68</c:v>
                </c:pt>
                <c:pt idx="86">
                  <c:v>-46.89</c:v>
                </c:pt>
                <c:pt idx="87">
                  <c:v>-9.64</c:v>
                </c:pt>
                <c:pt idx="88">
                  <c:v>-33.770000000000003</c:v>
                </c:pt>
                <c:pt idx="89">
                  <c:v>-112.72</c:v>
                </c:pt>
                <c:pt idx="90">
                  <c:v>-53.03</c:v>
                </c:pt>
                <c:pt idx="91">
                  <c:v>-50.94</c:v>
                </c:pt>
                <c:pt idx="92">
                  <c:v>-45.85</c:v>
                </c:pt>
                <c:pt idx="93">
                  <c:v>48.33</c:v>
                </c:pt>
                <c:pt idx="94">
                  <c:v>-9.93</c:v>
                </c:pt>
                <c:pt idx="95">
                  <c:v>-27.17</c:v>
                </c:pt>
                <c:pt idx="96">
                  <c:v>165.24</c:v>
                </c:pt>
                <c:pt idx="97">
                  <c:v>97.31</c:v>
                </c:pt>
                <c:pt idx="98">
                  <c:v>28.6</c:v>
                </c:pt>
                <c:pt idx="99">
                  <c:v>-33.96</c:v>
                </c:pt>
                <c:pt idx="100">
                  <c:v>-93.91</c:v>
                </c:pt>
                <c:pt idx="101">
                  <c:v>223.22</c:v>
                </c:pt>
                <c:pt idx="102">
                  <c:v>30.04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6-4411-9D16-8D2AC1BB0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631855"/>
        <c:axId val="1142630895"/>
      </c:lineChart>
      <c:catAx>
        <c:axId val="114263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2630895"/>
        <c:crosses val="autoZero"/>
        <c:auto val="1"/>
        <c:lblAlgn val="ctr"/>
        <c:lblOffset val="100"/>
        <c:noMultiLvlLbl val="0"/>
      </c:catAx>
      <c:valAx>
        <c:axId val="114263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4263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Az elemek</a:t>
            </a:r>
            <a:r>
              <a:rPr lang="hu-HU" baseline="0"/>
              <a:t> első ionizációs energiája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'első ionizációs energia'!$D$1</c:f>
              <c:strCache>
                <c:ptCount val="1"/>
                <c:pt idx="0">
                  <c:v>összes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'első ionizációs energia'!$A$2:$C$103</c15:sqref>
                  </c15:fullRef>
                  <c15:levelRef>
                    <c15:sqref>'első ionizációs energia'!$B$2:$B$103</c15:sqref>
                  </c15:levelRef>
                </c:ext>
              </c:extLst>
              <c:f>'első ionizációs energia'!$B$2:$B$103</c:f>
              <c:strCache>
                <c:ptCount val="102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  <c:pt idx="38">
                  <c:v>Y</c:v>
                </c:pt>
                <c:pt idx="39">
                  <c:v>Zr</c:v>
                </c:pt>
                <c:pt idx="40">
                  <c:v>Nb</c:v>
                </c:pt>
                <c:pt idx="41">
                  <c:v>Mo</c:v>
                </c:pt>
                <c:pt idx="42">
                  <c:v>Tc</c:v>
                </c:pt>
                <c:pt idx="43">
                  <c:v>Ru</c:v>
                </c:pt>
                <c:pt idx="44">
                  <c:v>Rh</c:v>
                </c:pt>
                <c:pt idx="45">
                  <c:v>Pd</c:v>
                </c:pt>
                <c:pt idx="46">
                  <c:v>Ag</c:v>
                </c:pt>
                <c:pt idx="47">
                  <c:v>Cd</c:v>
                </c:pt>
                <c:pt idx="48">
                  <c:v>In</c:v>
                </c:pt>
                <c:pt idx="49">
                  <c:v>Sn</c:v>
                </c:pt>
                <c:pt idx="50">
                  <c:v>Sb</c:v>
                </c:pt>
                <c:pt idx="51">
                  <c:v>Te</c:v>
                </c:pt>
                <c:pt idx="52">
                  <c:v>I</c:v>
                </c:pt>
                <c:pt idx="53">
                  <c:v>Xe</c:v>
                </c:pt>
                <c:pt idx="54">
                  <c:v>Cs</c:v>
                </c:pt>
                <c:pt idx="55">
                  <c:v>Ba</c:v>
                </c:pt>
                <c:pt idx="56">
                  <c:v>La</c:v>
                </c:pt>
                <c:pt idx="57">
                  <c:v>Ce</c:v>
                </c:pt>
                <c:pt idx="58">
                  <c:v>Pr</c:v>
                </c:pt>
                <c:pt idx="59">
                  <c:v>Nd</c:v>
                </c:pt>
                <c:pt idx="60">
                  <c:v>Pm</c:v>
                </c:pt>
                <c:pt idx="61">
                  <c:v>Sm</c:v>
                </c:pt>
                <c:pt idx="62">
                  <c:v>Eu</c:v>
                </c:pt>
                <c:pt idx="63">
                  <c:v>Gd</c:v>
                </c:pt>
                <c:pt idx="64">
                  <c:v>Tb</c:v>
                </c:pt>
                <c:pt idx="65">
                  <c:v>Dy</c:v>
                </c:pt>
                <c:pt idx="66">
                  <c:v>Ho</c:v>
                </c:pt>
                <c:pt idx="67">
                  <c:v>Er</c:v>
                </c:pt>
                <c:pt idx="68">
                  <c:v>Tm</c:v>
                </c:pt>
                <c:pt idx="69">
                  <c:v>Yb</c:v>
                </c:pt>
                <c:pt idx="70">
                  <c:v>Lu</c:v>
                </c:pt>
                <c:pt idx="71">
                  <c:v>Hf</c:v>
                </c:pt>
                <c:pt idx="72">
                  <c:v>Ta</c:v>
                </c:pt>
                <c:pt idx="73">
                  <c:v>W</c:v>
                </c:pt>
                <c:pt idx="74">
                  <c:v>Re</c:v>
                </c:pt>
                <c:pt idx="75">
                  <c:v>Os</c:v>
                </c:pt>
                <c:pt idx="76">
                  <c:v>Ir</c:v>
                </c:pt>
                <c:pt idx="77">
                  <c:v>Pt</c:v>
                </c:pt>
                <c:pt idx="78">
                  <c:v>Au</c:v>
                </c:pt>
                <c:pt idx="79">
                  <c:v>Hg</c:v>
                </c:pt>
                <c:pt idx="80">
                  <c:v>Tl</c:v>
                </c:pt>
                <c:pt idx="81">
                  <c:v>Pb</c:v>
                </c:pt>
                <c:pt idx="82">
                  <c:v>Bi</c:v>
                </c:pt>
                <c:pt idx="83">
                  <c:v>Po</c:v>
                </c:pt>
                <c:pt idx="84">
                  <c:v>At</c:v>
                </c:pt>
                <c:pt idx="85">
                  <c:v>Rn</c:v>
                </c:pt>
                <c:pt idx="86">
                  <c:v>Fr</c:v>
                </c:pt>
                <c:pt idx="87">
                  <c:v>Ra</c:v>
                </c:pt>
                <c:pt idx="88">
                  <c:v>Ac</c:v>
                </c:pt>
                <c:pt idx="89">
                  <c:v>Th</c:v>
                </c:pt>
                <c:pt idx="90">
                  <c:v>Pa</c:v>
                </c:pt>
                <c:pt idx="91">
                  <c:v>U</c:v>
                </c:pt>
                <c:pt idx="92">
                  <c:v>Np</c:v>
                </c:pt>
                <c:pt idx="93">
                  <c:v>Pu</c:v>
                </c:pt>
                <c:pt idx="94">
                  <c:v>Am</c:v>
                </c:pt>
                <c:pt idx="95">
                  <c:v>Cm</c:v>
                </c:pt>
                <c:pt idx="96">
                  <c:v>Bk</c:v>
                </c:pt>
                <c:pt idx="97">
                  <c:v>Cf</c:v>
                </c:pt>
                <c:pt idx="98">
                  <c:v>Es</c:v>
                </c:pt>
                <c:pt idx="99">
                  <c:v>Fm</c:v>
                </c:pt>
                <c:pt idx="100">
                  <c:v>Md</c:v>
                </c:pt>
                <c:pt idx="101">
                  <c:v>No</c:v>
                </c:pt>
              </c:strCache>
            </c:strRef>
          </c:cat>
          <c:val>
            <c:numRef>
              <c:f>'első ionizációs energia'!$D$2:$D$103</c:f>
              <c:numCache>
                <c:formatCode>0.00</c:formatCode>
                <c:ptCount val="102"/>
                <c:pt idx="0">
                  <c:v>13.598000000000001</c:v>
                </c:pt>
                <c:pt idx="1">
                  <c:v>24.587</c:v>
                </c:pt>
                <c:pt idx="2">
                  <c:v>5.3920000000000003</c:v>
                </c:pt>
                <c:pt idx="3">
                  <c:v>9.3230000000000004</c:v>
                </c:pt>
                <c:pt idx="4">
                  <c:v>8.298</c:v>
                </c:pt>
                <c:pt idx="5">
                  <c:v>11.26</c:v>
                </c:pt>
                <c:pt idx="6">
                  <c:v>14.534000000000001</c:v>
                </c:pt>
                <c:pt idx="7">
                  <c:v>13.618</c:v>
                </c:pt>
                <c:pt idx="8">
                  <c:v>17.422999999999998</c:v>
                </c:pt>
                <c:pt idx="9">
                  <c:v>21.565000000000001</c:v>
                </c:pt>
                <c:pt idx="10">
                  <c:v>5.1390000000000002</c:v>
                </c:pt>
                <c:pt idx="11">
                  <c:v>7.6459999999999999</c:v>
                </c:pt>
                <c:pt idx="12">
                  <c:v>5.9859999999999998</c:v>
                </c:pt>
                <c:pt idx="13">
                  <c:v>8.1519999999999992</c:v>
                </c:pt>
                <c:pt idx="14">
                  <c:v>10.487</c:v>
                </c:pt>
                <c:pt idx="15">
                  <c:v>10.36</c:v>
                </c:pt>
                <c:pt idx="16">
                  <c:v>12.968</c:v>
                </c:pt>
                <c:pt idx="17">
                  <c:v>15.76</c:v>
                </c:pt>
                <c:pt idx="18">
                  <c:v>4.3410000000000002</c:v>
                </c:pt>
                <c:pt idx="19">
                  <c:v>6.1130000000000004</c:v>
                </c:pt>
                <c:pt idx="20">
                  <c:v>6.5609999999999999</c:v>
                </c:pt>
                <c:pt idx="21">
                  <c:v>6.8280000000000003</c:v>
                </c:pt>
                <c:pt idx="22">
                  <c:v>6.7460000000000004</c:v>
                </c:pt>
                <c:pt idx="23">
                  <c:v>6.7670000000000003</c:v>
                </c:pt>
                <c:pt idx="24">
                  <c:v>7.4340000000000002</c:v>
                </c:pt>
                <c:pt idx="25">
                  <c:v>7.9020000000000001</c:v>
                </c:pt>
                <c:pt idx="26">
                  <c:v>7.8810000000000002</c:v>
                </c:pt>
                <c:pt idx="27">
                  <c:v>7.64</c:v>
                </c:pt>
                <c:pt idx="28">
                  <c:v>7.726</c:v>
                </c:pt>
                <c:pt idx="29">
                  <c:v>9.3940000000000001</c:v>
                </c:pt>
                <c:pt idx="30">
                  <c:v>5.9989999999999997</c:v>
                </c:pt>
                <c:pt idx="31">
                  <c:v>7.9</c:v>
                </c:pt>
                <c:pt idx="32">
                  <c:v>9.8149999999999995</c:v>
                </c:pt>
                <c:pt idx="33">
                  <c:v>9.7520000000000007</c:v>
                </c:pt>
                <c:pt idx="34">
                  <c:v>11.814</c:v>
                </c:pt>
                <c:pt idx="35">
                  <c:v>14</c:v>
                </c:pt>
                <c:pt idx="36">
                  <c:v>4.1769999999999996</c:v>
                </c:pt>
                <c:pt idx="37">
                  <c:v>5.6950000000000003</c:v>
                </c:pt>
                <c:pt idx="38">
                  <c:v>6.2169999999999996</c:v>
                </c:pt>
                <c:pt idx="39">
                  <c:v>6.6340000000000003</c:v>
                </c:pt>
                <c:pt idx="40">
                  <c:v>6.7590000000000003</c:v>
                </c:pt>
                <c:pt idx="41">
                  <c:v>7.0919999999999996</c:v>
                </c:pt>
                <c:pt idx="42">
                  <c:v>7.28</c:v>
                </c:pt>
                <c:pt idx="43">
                  <c:v>7.3609999999999998</c:v>
                </c:pt>
                <c:pt idx="44">
                  <c:v>7.4589999999999996</c:v>
                </c:pt>
                <c:pt idx="45">
                  <c:v>8.3369999999999997</c:v>
                </c:pt>
                <c:pt idx="46">
                  <c:v>7.5759999999999996</c:v>
                </c:pt>
                <c:pt idx="47">
                  <c:v>8.9939999999999998</c:v>
                </c:pt>
                <c:pt idx="48">
                  <c:v>5.7859999999999996</c:v>
                </c:pt>
                <c:pt idx="49">
                  <c:v>7.3440000000000003</c:v>
                </c:pt>
                <c:pt idx="50">
                  <c:v>8.64</c:v>
                </c:pt>
                <c:pt idx="51">
                  <c:v>9.01</c:v>
                </c:pt>
                <c:pt idx="52">
                  <c:v>10.451000000000001</c:v>
                </c:pt>
                <c:pt idx="53">
                  <c:v>12.13</c:v>
                </c:pt>
                <c:pt idx="54">
                  <c:v>3.8940000000000001</c:v>
                </c:pt>
                <c:pt idx="55">
                  <c:v>5.2119999999999997</c:v>
                </c:pt>
                <c:pt idx="56">
                  <c:v>5.577</c:v>
                </c:pt>
                <c:pt idx="57">
                  <c:v>5.5389999999999997</c:v>
                </c:pt>
                <c:pt idx="58">
                  <c:v>5.4640000000000004</c:v>
                </c:pt>
                <c:pt idx="59">
                  <c:v>5.5250000000000004</c:v>
                </c:pt>
                <c:pt idx="60">
                  <c:v>5.55</c:v>
                </c:pt>
                <c:pt idx="61">
                  <c:v>5.6440000000000001</c:v>
                </c:pt>
                <c:pt idx="62">
                  <c:v>5.67</c:v>
                </c:pt>
                <c:pt idx="63">
                  <c:v>6.15</c:v>
                </c:pt>
                <c:pt idx="64">
                  <c:v>5.8639999999999999</c:v>
                </c:pt>
                <c:pt idx="65">
                  <c:v>5.9390000000000001</c:v>
                </c:pt>
                <c:pt idx="66">
                  <c:v>6.0220000000000002</c:v>
                </c:pt>
                <c:pt idx="67">
                  <c:v>6.1079999999999997</c:v>
                </c:pt>
                <c:pt idx="68">
                  <c:v>6.1840000000000002</c:v>
                </c:pt>
                <c:pt idx="69">
                  <c:v>6.2539999999999996</c:v>
                </c:pt>
                <c:pt idx="70">
                  <c:v>5.4260000000000002</c:v>
                </c:pt>
                <c:pt idx="71">
                  <c:v>6.8250000000000002</c:v>
                </c:pt>
                <c:pt idx="72">
                  <c:v>7.89</c:v>
                </c:pt>
                <c:pt idx="73">
                  <c:v>7.98</c:v>
                </c:pt>
                <c:pt idx="74">
                  <c:v>7.88</c:v>
                </c:pt>
                <c:pt idx="75">
                  <c:v>8.6999999999999993</c:v>
                </c:pt>
                <c:pt idx="76">
                  <c:v>9.1</c:v>
                </c:pt>
                <c:pt idx="77">
                  <c:v>9</c:v>
                </c:pt>
                <c:pt idx="78">
                  <c:v>9.2260000000000009</c:v>
                </c:pt>
                <c:pt idx="79">
                  <c:v>10.438000000000001</c:v>
                </c:pt>
                <c:pt idx="80">
                  <c:v>6.1079999999999997</c:v>
                </c:pt>
                <c:pt idx="81">
                  <c:v>7.4169999999999998</c:v>
                </c:pt>
                <c:pt idx="82">
                  <c:v>7.2889999999999997</c:v>
                </c:pt>
                <c:pt idx="83">
                  <c:v>8.4169999999999998</c:v>
                </c:pt>
                <c:pt idx="84">
                  <c:v>9.5</c:v>
                </c:pt>
                <c:pt idx="85">
                  <c:v>10.744999999999999</c:v>
                </c:pt>
                <c:pt idx="86">
                  <c:v>3.9</c:v>
                </c:pt>
                <c:pt idx="87">
                  <c:v>5.2789999999999999</c:v>
                </c:pt>
                <c:pt idx="88">
                  <c:v>5.17</c:v>
                </c:pt>
                <c:pt idx="89">
                  <c:v>6.08</c:v>
                </c:pt>
                <c:pt idx="90">
                  <c:v>5.89</c:v>
                </c:pt>
                <c:pt idx="91">
                  <c:v>6.194</c:v>
                </c:pt>
                <c:pt idx="92">
                  <c:v>6.266</c:v>
                </c:pt>
                <c:pt idx="93">
                  <c:v>6.06</c:v>
                </c:pt>
                <c:pt idx="94">
                  <c:v>5.9930000000000003</c:v>
                </c:pt>
                <c:pt idx="95">
                  <c:v>6.02</c:v>
                </c:pt>
                <c:pt idx="96">
                  <c:v>6.23</c:v>
                </c:pt>
                <c:pt idx="97">
                  <c:v>6.3</c:v>
                </c:pt>
                <c:pt idx="98">
                  <c:v>6.42</c:v>
                </c:pt>
                <c:pt idx="99">
                  <c:v>6.5</c:v>
                </c:pt>
                <c:pt idx="100">
                  <c:v>6.58</c:v>
                </c:pt>
                <c:pt idx="101">
                  <c:v>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C-4411-800A-7777CEFF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838527"/>
        <c:axId val="589839487"/>
      </c:lineChart>
      <c:catAx>
        <c:axId val="58983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89839487"/>
        <c:crosses val="autoZero"/>
        <c:auto val="1"/>
        <c:lblAlgn val="ctr"/>
        <c:lblOffset val="100"/>
        <c:noMultiLvlLbl val="1"/>
      </c:catAx>
      <c:valAx>
        <c:axId val="58983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8983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Első ionizációs energia</a:t>
            </a:r>
            <a:r>
              <a:rPr lang="hu-HU" baseline="0"/>
              <a:t> az első 4 periódusban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'első ionizációs energia'!$F$1</c:f>
              <c:strCache>
                <c:ptCount val="1"/>
                <c:pt idx="0">
                  <c:v>s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4C7-46CF-AE14-38D5634187D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4C7-46CF-AE14-38D5634187D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4C7-46CF-AE14-38D5634187D1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4C7-46CF-AE14-38D5634187D1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C4C7-46CF-AE14-38D5634187D1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C4C7-46CF-AE14-38D5634187D1}"/>
              </c:ext>
            </c:extLst>
          </c:dPt>
          <c:xVal>
            <c:numRef>
              <c:f>'első ionizációs energia'!$A$2:$A$39</c:f>
              <c:numCache>
                <c:formatCode>0.00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'első ionizációs energia'!$F$2:$F$39</c:f>
              <c:numCache>
                <c:formatCode>General</c:formatCode>
                <c:ptCount val="38"/>
                <c:pt idx="0">
                  <c:v>13.598000000000001</c:v>
                </c:pt>
                <c:pt idx="1">
                  <c:v>24.587</c:v>
                </c:pt>
                <c:pt idx="2">
                  <c:v>5.3920000000000003</c:v>
                </c:pt>
                <c:pt idx="3">
                  <c:v>9.3230000000000004</c:v>
                </c:pt>
                <c:pt idx="4">
                  <c:v>-10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5.1390000000000002</c:v>
                </c:pt>
                <c:pt idx="11">
                  <c:v>7.6459999999999999</c:v>
                </c:pt>
                <c:pt idx="12">
                  <c:v>-10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4.3410000000000002</c:v>
                </c:pt>
                <c:pt idx="19">
                  <c:v>6.1130000000000004</c:v>
                </c:pt>
                <c:pt idx="20">
                  <c:v>-10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4.1769999999999996</c:v>
                </c:pt>
                <c:pt idx="37">
                  <c:v>5.6950000000000003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DA-4CF8-B530-4FCF52A327F1}"/>
            </c:ext>
          </c:extLst>
        </c:ser>
        <c:ser>
          <c:idx val="1"/>
          <c:order val="1"/>
          <c:tx>
            <c:strRef>
              <c:f>'első ionizációs energia'!$G$1</c:f>
              <c:strCache>
                <c:ptCount val="1"/>
                <c:pt idx="0">
                  <c:v>p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C7-46CF-AE14-38D5634187D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4C7-46CF-AE14-38D5634187D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4C7-46CF-AE14-38D5634187D1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C4C7-46CF-AE14-38D5634187D1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4C7-46CF-AE14-38D5634187D1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C4C7-46CF-AE14-38D5634187D1}"/>
              </c:ext>
            </c:extLst>
          </c:dPt>
          <c:xVal>
            <c:numRef>
              <c:f>'első ionizációs energia'!$A$2:$A$39</c:f>
              <c:numCache>
                <c:formatCode>0.00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'első ionizációs energia'!$G$2:$G$39</c:f>
              <c:numCache>
                <c:formatCode>General</c:formatCode>
                <c:ptCount val="3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8.298</c:v>
                </c:pt>
                <c:pt idx="5">
                  <c:v>11.26</c:v>
                </c:pt>
                <c:pt idx="6">
                  <c:v>14.534000000000001</c:v>
                </c:pt>
                <c:pt idx="7">
                  <c:v>13.618</c:v>
                </c:pt>
                <c:pt idx="8">
                  <c:v>17.422999999999998</c:v>
                </c:pt>
                <c:pt idx="9">
                  <c:v>21.565000000000001</c:v>
                </c:pt>
                <c:pt idx="10">
                  <c:v>-10</c:v>
                </c:pt>
                <c:pt idx="11">
                  <c:v>-1</c:v>
                </c:pt>
                <c:pt idx="12">
                  <c:v>5.9859999999999998</c:v>
                </c:pt>
                <c:pt idx="13">
                  <c:v>8.1519999999999992</c:v>
                </c:pt>
                <c:pt idx="14">
                  <c:v>10.487</c:v>
                </c:pt>
                <c:pt idx="15">
                  <c:v>10.36</c:v>
                </c:pt>
                <c:pt idx="16">
                  <c:v>12.968</c:v>
                </c:pt>
                <c:pt idx="17">
                  <c:v>15.76</c:v>
                </c:pt>
                <c:pt idx="18">
                  <c:v>-10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5.9989999999999997</c:v>
                </c:pt>
                <c:pt idx="31">
                  <c:v>7.9</c:v>
                </c:pt>
                <c:pt idx="32">
                  <c:v>9.8149999999999995</c:v>
                </c:pt>
                <c:pt idx="33">
                  <c:v>9.7520000000000007</c:v>
                </c:pt>
                <c:pt idx="34">
                  <c:v>11.814</c:v>
                </c:pt>
                <c:pt idx="35">
                  <c:v>14</c:v>
                </c:pt>
                <c:pt idx="36">
                  <c:v>-10</c:v>
                </c:pt>
                <c:pt idx="37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DA-4CF8-B530-4FCF52A327F1}"/>
            </c:ext>
          </c:extLst>
        </c:ser>
        <c:ser>
          <c:idx val="3"/>
          <c:order val="2"/>
          <c:tx>
            <c:strRef>
              <c:f>'első ionizációs energia'!$H$1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dPt>
            <c:idx val="2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C4C7-46CF-AE14-38D5634187D1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C4C7-46CF-AE14-38D5634187D1}"/>
              </c:ext>
            </c:extLst>
          </c:dPt>
          <c:xVal>
            <c:numRef>
              <c:f>'első ionizációs energia'!$A$2:$A$39</c:f>
              <c:numCache>
                <c:formatCode>0.00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'első ionizációs energia'!$H$2:$H$39</c:f>
              <c:numCache>
                <c:formatCode>General</c:formatCode>
                <c:ptCount val="3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6.5609999999999999</c:v>
                </c:pt>
                <c:pt idx="21">
                  <c:v>6.8280000000000003</c:v>
                </c:pt>
                <c:pt idx="22">
                  <c:v>6.7460000000000004</c:v>
                </c:pt>
                <c:pt idx="23">
                  <c:v>6.7670000000000003</c:v>
                </c:pt>
                <c:pt idx="24">
                  <c:v>7.4340000000000002</c:v>
                </c:pt>
                <c:pt idx="25">
                  <c:v>7.9020000000000001</c:v>
                </c:pt>
                <c:pt idx="26">
                  <c:v>7.8810000000000002</c:v>
                </c:pt>
                <c:pt idx="27">
                  <c:v>7.64</c:v>
                </c:pt>
                <c:pt idx="28">
                  <c:v>7.726</c:v>
                </c:pt>
                <c:pt idx="29">
                  <c:v>9.3940000000000001</c:v>
                </c:pt>
                <c:pt idx="30">
                  <c:v>-10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DA-4CF8-B530-4FCF52A32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30367"/>
        <c:axId val="905631807"/>
      </c:scatterChart>
      <c:valAx>
        <c:axId val="905630367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05631807"/>
        <c:crosses val="autoZero"/>
        <c:crossBetween val="midCat"/>
      </c:valAx>
      <c:valAx>
        <c:axId val="9056318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05630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'első ionizációs energia'!$R$1</c:f>
              <c:strCache>
                <c:ptCount val="1"/>
                <c:pt idx="0">
                  <c:v>vegyjel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'első ionizációs energia'!$Q$2:$Q$119</c:f>
              <c:numCache>
                <c:formatCode>General</c:formatCode>
                <c:ptCount val="1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11</c:v>
                </c:pt>
                <c:pt idx="5">
                  <c:v>12</c:v>
                </c:pt>
                <c:pt idx="6">
                  <c:v>19</c:v>
                </c:pt>
                <c:pt idx="7">
                  <c:v>20</c:v>
                </c:pt>
                <c:pt idx="8">
                  <c:v>37</c:v>
                </c:pt>
                <c:pt idx="9">
                  <c:v>38</c:v>
                </c:pt>
                <c:pt idx="10">
                  <c:v>55</c:v>
                </c:pt>
                <c:pt idx="11">
                  <c:v>56</c:v>
                </c:pt>
                <c:pt idx="12">
                  <c:v>87</c:v>
                </c:pt>
                <c:pt idx="13">
                  <c:v>88</c:v>
                </c:pt>
              </c:numCache>
            </c:numRef>
          </c:xVal>
          <c:yVal>
            <c:numRef>
              <c:f>'első ionizációs energia'!$R$2:$R$119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0B-49C1-A136-C2135B7C2165}"/>
            </c:ext>
          </c:extLst>
        </c:ser>
        <c:ser>
          <c:idx val="1"/>
          <c:order val="1"/>
          <c:tx>
            <c:strRef>
              <c:f>'első ionizációs energia'!$S$1</c:f>
              <c:strCache>
                <c:ptCount val="1"/>
                <c:pt idx="0">
                  <c:v>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'első ionizációs energia'!$Q$2:$Q$119</c:f>
              <c:numCache>
                <c:formatCode>General</c:formatCode>
                <c:ptCount val="1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11</c:v>
                </c:pt>
                <c:pt idx="5">
                  <c:v>12</c:v>
                </c:pt>
                <c:pt idx="6">
                  <c:v>19</c:v>
                </c:pt>
                <c:pt idx="7">
                  <c:v>20</c:v>
                </c:pt>
                <c:pt idx="8">
                  <c:v>37</c:v>
                </c:pt>
                <c:pt idx="9">
                  <c:v>38</c:v>
                </c:pt>
                <c:pt idx="10">
                  <c:v>55</c:v>
                </c:pt>
                <c:pt idx="11">
                  <c:v>56</c:v>
                </c:pt>
                <c:pt idx="12">
                  <c:v>87</c:v>
                </c:pt>
                <c:pt idx="13">
                  <c:v>88</c:v>
                </c:pt>
              </c:numCache>
            </c:numRef>
          </c:xVal>
          <c:yVal>
            <c:numRef>
              <c:f>'első ionizációs energia'!$S$2:$S$119</c:f>
              <c:numCache>
                <c:formatCode>General</c:formatCode>
                <c:ptCount val="118"/>
                <c:pt idx="0">
                  <c:v>13.598000000000001</c:v>
                </c:pt>
                <c:pt idx="1">
                  <c:v>24.587</c:v>
                </c:pt>
                <c:pt idx="2">
                  <c:v>5.3920000000000003</c:v>
                </c:pt>
                <c:pt idx="3">
                  <c:v>9.3230000000000004</c:v>
                </c:pt>
                <c:pt idx="4">
                  <c:v>5.1390000000000002</c:v>
                </c:pt>
                <c:pt idx="5">
                  <c:v>7.6459999999999999</c:v>
                </c:pt>
                <c:pt idx="6">
                  <c:v>4.3410000000000002</c:v>
                </c:pt>
                <c:pt idx="7">
                  <c:v>6.1130000000000004</c:v>
                </c:pt>
                <c:pt idx="8">
                  <c:v>4.1769999999999996</c:v>
                </c:pt>
                <c:pt idx="9">
                  <c:v>5.6950000000000003</c:v>
                </c:pt>
                <c:pt idx="10">
                  <c:v>3.8940000000000001</c:v>
                </c:pt>
                <c:pt idx="11">
                  <c:v>5.2119999999999997</c:v>
                </c:pt>
                <c:pt idx="12">
                  <c:v>3.9</c:v>
                </c:pt>
                <c:pt idx="13">
                  <c:v>5.2789999999999999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0B-49C1-A136-C2135B7C2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17232"/>
        <c:axId val="1134514352"/>
      </c:scatterChart>
      <c:valAx>
        <c:axId val="113451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34514352"/>
        <c:crosses val="autoZero"/>
        <c:crossBetween val="midCat"/>
      </c:valAx>
      <c:valAx>
        <c:axId val="11345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3451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Első ionizációs energia</a:t>
            </a:r>
            <a:r>
              <a:rPr lang="hu-HU" baseline="0"/>
              <a:t> az első 4 periódusban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'első ionizációs energia'!$F$1</c:f>
              <c:strCache>
                <c:ptCount val="1"/>
                <c:pt idx="0">
                  <c:v>s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C1D-442C-A495-AD3FACCC9EC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0C1D-442C-A495-AD3FACCC9EC8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0C1D-442C-A495-AD3FACCC9EC8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0C1D-442C-A495-AD3FACCC9EC8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82C-4A55-9ADA-A4BA5FA761C4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0C1D-442C-A495-AD3FACCC9EC8}"/>
              </c:ext>
            </c:extLst>
          </c:dPt>
          <c:cat>
            <c:strRef>
              <c:f>'első ionizációs energia'!$B$2:$B$39</c:f>
              <c:strCache>
                <c:ptCount val="3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</c:strCache>
            </c:strRef>
          </c:cat>
          <c:val>
            <c:numRef>
              <c:f>'első ionizációs energia'!$F$2:$F$39</c:f>
              <c:numCache>
                <c:formatCode>General</c:formatCode>
                <c:ptCount val="38"/>
                <c:pt idx="0">
                  <c:v>13.598000000000001</c:v>
                </c:pt>
                <c:pt idx="1">
                  <c:v>24.587</c:v>
                </c:pt>
                <c:pt idx="2">
                  <c:v>5.3920000000000003</c:v>
                </c:pt>
                <c:pt idx="3">
                  <c:v>9.3230000000000004</c:v>
                </c:pt>
                <c:pt idx="4">
                  <c:v>-10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5.1390000000000002</c:v>
                </c:pt>
                <c:pt idx="11">
                  <c:v>7.6459999999999999</c:v>
                </c:pt>
                <c:pt idx="12">
                  <c:v>-10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4.3410000000000002</c:v>
                </c:pt>
                <c:pt idx="19">
                  <c:v>6.1130000000000004</c:v>
                </c:pt>
                <c:pt idx="20">
                  <c:v>-10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4.1769999999999996</c:v>
                </c:pt>
                <c:pt idx="37">
                  <c:v>5.6950000000000003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0C1D-442C-A495-AD3FACCC9EC8}"/>
            </c:ext>
          </c:extLst>
        </c:ser>
        <c:ser>
          <c:idx val="3"/>
          <c:order val="2"/>
          <c:tx>
            <c:strRef>
              <c:f>'első ionizációs energia'!$G$1</c:f>
              <c:strCache>
                <c:ptCount val="1"/>
                <c:pt idx="0">
                  <c:v>p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82C-4A55-9ADA-A4BA5FA761C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82C-4A55-9ADA-A4BA5FA761C4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B82C-4A55-9ADA-A4BA5FA761C4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B82C-4A55-9ADA-A4BA5FA761C4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0C1D-442C-A495-AD3FACCC9EC8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B82C-4A55-9ADA-A4BA5FA761C4}"/>
              </c:ext>
            </c:extLst>
          </c:dPt>
          <c:cat>
            <c:strRef>
              <c:f>'első ionizációs energia'!$B$2:$B$39</c:f>
              <c:strCache>
                <c:ptCount val="3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</c:strCache>
            </c:strRef>
          </c:cat>
          <c:val>
            <c:numRef>
              <c:f>'első ionizációs energia'!$G$2:$G$39</c:f>
              <c:numCache>
                <c:formatCode>General</c:formatCode>
                <c:ptCount val="3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8.298</c:v>
                </c:pt>
                <c:pt idx="5">
                  <c:v>11.26</c:v>
                </c:pt>
                <c:pt idx="6">
                  <c:v>14.534000000000001</c:v>
                </c:pt>
                <c:pt idx="7">
                  <c:v>13.618</c:v>
                </c:pt>
                <c:pt idx="8">
                  <c:v>17.422999999999998</c:v>
                </c:pt>
                <c:pt idx="9">
                  <c:v>21.565000000000001</c:v>
                </c:pt>
                <c:pt idx="10">
                  <c:v>-10</c:v>
                </c:pt>
                <c:pt idx="11">
                  <c:v>-1</c:v>
                </c:pt>
                <c:pt idx="12">
                  <c:v>5.9859999999999998</c:v>
                </c:pt>
                <c:pt idx="13">
                  <c:v>8.1519999999999992</c:v>
                </c:pt>
                <c:pt idx="14">
                  <c:v>10.487</c:v>
                </c:pt>
                <c:pt idx="15">
                  <c:v>10.36</c:v>
                </c:pt>
                <c:pt idx="16">
                  <c:v>12.968</c:v>
                </c:pt>
                <c:pt idx="17">
                  <c:v>15.76</c:v>
                </c:pt>
                <c:pt idx="18">
                  <c:v>-10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5.9989999999999997</c:v>
                </c:pt>
                <c:pt idx="31">
                  <c:v>7.9</c:v>
                </c:pt>
                <c:pt idx="32">
                  <c:v>9.8149999999999995</c:v>
                </c:pt>
                <c:pt idx="33">
                  <c:v>9.7520000000000007</c:v>
                </c:pt>
                <c:pt idx="34">
                  <c:v>11.814</c:v>
                </c:pt>
                <c:pt idx="35">
                  <c:v>14</c:v>
                </c:pt>
                <c:pt idx="36">
                  <c:v>-10</c:v>
                </c:pt>
                <c:pt idx="3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C1D-442C-A495-AD3FACCC9EC8}"/>
            </c:ext>
          </c:extLst>
        </c:ser>
        <c:ser>
          <c:idx val="2"/>
          <c:order val="3"/>
          <c:tx>
            <c:strRef>
              <c:f>'első ionizációs energia'!$H$1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dPt>
            <c:idx val="2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B82C-4A55-9ADA-A4BA5FA761C4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B82C-4A55-9ADA-A4BA5FA761C4}"/>
              </c:ext>
            </c:extLst>
          </c:dPt>
          <c:cat>
            <c:strRef>
              <c:f>'első ionizációs energia'!$B$2:$B$39</c:f>
              <c:strCache>
                <c:ptCount val="3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</c:strCache>
            </c:strRef>
          </c:cat>
          <c:val>
            <c:numRef>
              <c:f>'első ionizációs energia'!$H$2:$H$39</c:f>
              <c:numCache>
                <c:formatCode>General</c:formatCode>
                <c:ptCount val="3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6.5609999999999999</c:v>
                </c:pt>
                <c:pt idx="21">
                  <c:v>6.8280000000000003</c:v>
                </c:pt>
                <c:pt idx="22">
                  <c:v>6.7460000000000004</c:v>
                </c:pt>
                <c:pt idx="23">
                  <c:v>6.7670000000000003</c:v>
                </c:pt>
                <c:pt idx="24">
                  <c:v>7.4340000000000002</c:v>
                </c:pt>
                <c:pt idx="25">
                  <c:v>7.9020000000000001</c:v>
                </c:pt>
                <c:pt idx="26">
                  <c:v>7.8810000000000002</c:v>
                </c:pt>
                <c:pt idx="27">
                  <c:v>7.64</c:v>
                </c:pt>
                <c:pt idx="28">
                  <c:v>7.726</c:v>
                </c:pt>
                <c:pt idx="29">
                  <c:v>9.3940000000000001</c:v>
                </c:pt>
                <c:pt idx="30">
                  <c:v>-10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C1D-442C-A495-AD3FACCC9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630367"/>
        <c:axId val="9056318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'első ionizációs energia'!$B$1</c15:sqref>
                        </c15:formulaRef>
                      </c:ext>
                    </c:extLst>
                    <c:strCache>
                      <c:ptCount val="1"/>
                      <c:pt idx="0">
                        <c:v>vegyjel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'első ionizációs energia'!$B$2:$B$39</c15:sqref>
                        </c15:formulaRef>
                      </c:ext>
                    </c:extLst>
                    <c:strCache>
                      <c:ptCount val="38"/>
                      <c:pt idx="0">
                        <c:v>H</c:v>
                      </c:pt>
                      <c:pt idx="1">
                        <c:v>He</c:v>
                      </c:pt>
                      <c:pt idx="2">
                        <c:v>Li</c:v>
                      </c:pt>
                      <c:pt idx="3">
                        <c:v>Be</c:v>
                      </c:pt>
                      <c:pt idx="4">
                        <c:v>B</c:v>
                      </c:pt>
                      <c:pt idx="5">
                        <c:v>C</c:v>
                      </c:pt>
                      <c:pt idx="6">
                        <c:v>N</c:v>
                      </c:pt>
                      <c:pt idx="7">
                        <c:v>O</c:v>
                      </c:pt>
                      <c:pt idx="8">
                        <c:v>F</c:v>
                      </c:pt>
                      <c:pt idx="9">
                        <c:v>Ne</c:v>
                      </c:pt>
                      <c:pt idx="10">
                        <c:v>Na</c:v>
                      </c:pt>
                      <c:pt idx="11">
                        <c:v>Mg</c:v>
                      </c:pt>
                      <c:pt idx="12">
                        <c:v>Al</c:v>
                      </c:pt>
                      <c:pt idx="13">
                        <c:v>Si</c:v>
                      </c:pt>
                      <c:pt idx="14">
                        <c:v>P</c:v>
                      </c:pt>
                      <c:pt idx="15">
                        <c:v>S</c:v>
                      </c:pt>
                      <c:pt idx="16">
                        <c:v>Cl</c:v>
                      </c:pt>
                      <c:pt idx="17">
                        <c:v>Ar</c:v>
                      </c:pt>
                      <c:pt idx="18">
                        <c:v>K</c:v>
                      </c:pt>
                      <c:pt idx="19">
                        <c:v>Ca</c:v>
                      </c:pt>
                      <c:pt idx="20">
                        <c:v>Sc</c:v>
                      </c:pt>
                      <c:pt idx="21">
                        <c:v>Ti</c:v>
                      </c:pt>
                      <c:pt idx="22">
                        <c:v>V</c:v>
                      </c:pt>
                      <c:pt idx="23">
                        <c:v>Cr</c:v>
                      </c:pt>
                      <c:pt idx="24">
                        <c:v>Mn</c:v>
                      </c:pt>
                      <c:pt idx="25">
                        <c:v>Fe</c:v>
                      </c:pt>
                      <c:pt idx="26">
                        <c:v>Co</c:v>
                      </c:pt>
                      <c:pt idx="27">
                        <c:v>Ni</c:v>
                      </c:pt>
                      <c:pt idx="28">
                        <c:v>Cu</c:v>
                      </c:pt>
                      <c:pt idx="29">
                        <c:v>Zn</c:v>
                      </c:pt>
                      <c:pt idx="30">
                        <c:v>Ga</c:v>
                      </c:pt>
                      <c:pt idx="31">
                        <c:v>Ge</c:v>
                      </c:pt>
                      <c:pt idx="32">
                        <c:v>As</c:v>
                      </c:pt>
                      <c:pt idx="33">
                        <c:v>Se</c:v>
                      </c:pt>
                      <c:pt idx="34">
                        <c:v>Br</c:v>
                      </c:pt>
                      <c:pt idx="35">
                        <c:v>Kr</c:v>
                      </c:pt>
                      <c:pt idx="36">
                        <c:v>Rb</c:v>
                      </c:pt>
                      <c:pt idx="37">
                        <c:v>Sr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'első ionizációs energia'!$B$2:$B$39</c15:sqref>
                        </c15:formulaRef>
                      </c:ext>
                    </c:extLst>
                    <c:numCache>
                      <c:formatCode>0.00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C-0C1D-442C-A495-AD3FACCC9EC8}"/>
                  </c:ext>
                </c:extLst>
              </c15:ser>
            </c15:filteredLineSeries>
          </c:ext>
        </c:extLst>
      </c:lineChart>
      <c:catAx>
        <c:axId val="90563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05631807"/>
        <c:crosses val="autoZero"/>
        <c:auto val="1"/>
        <c:lblAlgn val="ctr"/>
        <c:lblOffset val="100"/>
        <c:noMultiLvlLbl val="0"/>
      </c:catAx>
      <c:valAx>
        <c:axId val="9056318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0563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Első ionizációs energia</a:t>
            </a:r>
            <a:r>
              <a:rPr lang="hu-HU" baseline="0"/>
              <a:t> az első 4 periódusban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'első ionizációs energia'!$F$1</c:f>
              <c:strCache>
                <c:ptCount val="1"/>
                <c:pt idx="0">
                  <c:v>s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4F-4C98-A0F9-33F383AE482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4F-4C98-A0F9-33F383AE4829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D4F-4C98-A0F9-33F383AE4829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4F-4C98-A0F9-33F383AE4829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D4F-4C98-A0F9-33F383AE4829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D4F-4C98-A0F9-33F383AE482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6D13D86-7E90-4120-9E1B-9AAC62E016EE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FD4F-4C98-A0F9-33F383AE48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4C7A73-CD55-4F66-9B13-67AC7CA8ACA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4F-4C98-A0F9-33F383AE48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5C2DD8-AA0F-48E8-A67E-1C94942BCA2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4F-4C98-A0F9-33F383AE48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FF3612-CB59-4B9B-977E-0BC4007055F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4F-4C98-A0F9-33F383AE48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1931FF0-B96D-4408-8B48-26547756A78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4F-4C98-A0F9-33F383AE482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CF4EDD4-E85A-4CA2-BCCB-88E340DF344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4F-4C98-A0F9-33F383AE482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A1B3DAB-218B-4D86-A6C5-7C66D735955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4F-4C98-A0F9-33F383AE48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ED29977-1B03-497C-9F83-839C717D5BC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4F-4C98-A0F9-33F383AE482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0FF7AB6-8B91-440D-AB12-217D47E5C02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4F-4C98-A0F9-33F383AE482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6A89FC7-34E3-47B9-8733-7743DBA0BCA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4F-4C98-A0F9-33F383AE482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A17E970-AC0D-46C5-A89F-AD5E58E642BF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4F-4C98-A0F9-33F383AE482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D371C13-6226-408E-B85C-590564B7D2C9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4F-4C98-A0F9-33F383AE482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DE708F8-7ECA-4A6C-997C-0553E9BA7C7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4F-4C98-A0F9-33F383AE482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9AFC230-01A8-470C-928E-3C8D3339074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4F-4C98-A0F9-33F383AE482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62346E-3AB6-42C8-8CA5-83D109B92C7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4F-4C98-A0F9-33F383AE482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B66D16F-E9DB-4FD6-8BCC-753564721222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4F-4C98-A0F9-33F383AE482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A900712-3A5B-42DC-B32D-0ACB1393F56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4F-4C98-A0F9-33F383AE482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1847A1C-1A16-49E2-8AC5-E7ADD0D6D6B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4F-4C98-A0F9-33F383AE482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655BA91-F57E-405C-B0BC-CE367F642EF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4F-4C98-A0F9-33F383AE482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6C5919C-2364-4D06-ADA9-523370F20EA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4F-4C98-A0F9-33F383AE482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907B588-32E8-4F90-896F-75772F3D4B8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4F-4C98-A0F9-33F383AE482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8916B92-F7B0-4108-9F0D-B9D7A353037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4F-4C98-A0F9-33F383AE482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9F00F5E-A7D0-4FED-AE1F-D506B8EA2BEE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4F-4C98-A0F9-33F383AE482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E7C7F77-7987-4557-8A9A-1D81E397EF9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4F-4C98-A0F9-33F383AE48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4253904-BC90-487A-884B-349BF1AB26E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4F-4C98-A0F9-33F383AE482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C1A309A-D1FF-4171-90EA-88B844A20BA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4F-4C98-A0F9-33F383AE482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11FB254-83AB-45D3-9012-8EEBE6AD3A1D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4F-4C98-A0F9-33F383AE482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A281F61-32A3-4C72-815C-5F987327DCD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4F-4C98-A0F9-33F383AE482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8382E4A-AF4D-446C-A2FC-6AEA76F13CC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4F-4C98-A0F9-33F383AE482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30CF4B2-3052-4D98-83F2-FA97AD7F4248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4F-4C98-A0F9-33F383AE482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D83705E-E81F-46E0-A83B-5402E7BFBCE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4F-4C98-A0F9-33F383AE482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D5E0EFB1-1FF6-45A3-B039-795AE2B80EDE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4F-4C98-A0F9-33F383AE482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18A41FC-4613-4E6D-B7DD-B2111CF0A53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4F-4C98-A0F9-33F383AE482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AA3D298-6C0B-4175-AA21-6D5939E9944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4F-4C98-A0F9-33F383AE482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A6F78D7-071A-467C-8D14-48973C7D8F8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4F-4C98-A0F9-33F383AE482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58DB82B-E4C6-4538-9809-5FEB42BC099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4F-4C98-A0F9-33F383AE482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4217A6F-EE1E-4B2B-873D-EA72945460B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4F-4C98-A0F9-33F383AE482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08580A0B-9EBE-4039-B6C4-F114F33EEE5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4F-4C98-A0F9-33F383AE48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'első ionizációs energia'!$B$2:$B$39</c:f>
              <c:strCache>
                <c:ptCount val="3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</c:strCache>
            </c:strRef>
          </c:cat>
          <c:val>
            <c:numRef>
              <c:f>'első ionizációs energia'!$F$2:$F$39</c:f>
              <c:numCache>
                <c:formatCode>General</c:formatCode>
                <c:ptCount val="38"/>
                <c:pt idx="0">
                  <c:v>13.598000000000001</c:v>
                </c:pt>
                <c:pt idx="1">
                  <c:v>24.587</c:v>
                </c:pt>
                <c:pt idx="2">
                  <c:v>5.3920000000000003</c:v>
                </c:pt>
                <c:pt idx="3">
                  <c:v>9.3230000000000004</c:v>
                </c:pt>
                <c:pt idx="4">
                  <c:v>-10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5.1390000000000002</c:v>
                </c:pt>
                <c:pt idx="11">
                  <c:v>7.6459999999999999</c:v>
                </c:pt>
                <c:pt idx="12">
                  <c:v>-10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4.3410000000000002</c:v>
                </c:pt>
                <c:pt idx="19">
                  <c:v>6.1130000000000004</c:v>
                </c:pt>
                <c:pt idx="20">
                  <c:v>-10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4.1769999999999996</c:v>
                </c:pt>
                <c:pt idx="37">
                  <c:v>5.6950000000000003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'első ionizációs energia'!$J$2:$J$39</c15:f>
                <c15:dlblRangeCache>
                  <c:ptCount val="38"/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6">
                    <c:v>N</c:v>
                  </c:pt>
                  <c:pt idx="7">
                    <c:v>O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9">
                    <c:v>Zn</c:v>
                  </c:pt>
                  <c:pt idx="30">
                    <c:v>Ga</c:v>
                  </c:pt>
                  <c:pt idx="35">
                    <c:v>Kr</c:v>
                  </c:pt>
                  <c:pt idx="36">
                    <c:v>Rb</c:v>
                  </c:pt>
                  <c:pt idx="37">
                    <c:v>Sr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FD4F-4C98-A0F9-33F383AE4829}"/>
            </c:ext>
          </c:extLst>
        </c:ser>
        <c:ser>
          <c:idx val="1"/>
          <c:order val="1"/>
          <c:tx>
            <c:strRef>
              <c:f>'első ionizációs energia'!$G$1</c:f>
              <c:strCache>
                <c:ptCount val="1"/>
                <c:pt idx="0">
                  <c:v>p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FD4F-4C98-A0F9-33F383AE482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FD4F-4C98-A0F9-33F383AE4829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FD4F-4C98-A0F9-33F383AE4829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FD4F-4C98-A0F9-33F383AE4829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FD4F-4C98-A0F9-33F383AE4829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FD4F-4C98-A0F9-33F383AE482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C5269FC-6F07-4D1D-80A3-CD4F12F6B274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FD4F-4C98-A0F9-33F383AE48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7BBE7C-8425-4249-9442-BC642AB7A46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4F-4C98-A0F9-33F383AE48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E547AD-D488-49B0-ACC9-D61121E5B5F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4F-4C98-A0F9-33F383AE48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8CB782-A862-40F8-8C14-F85972EAACAF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4F-4C98-A0F9-33F383AE48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FEAAA61-4D0A-4E55-A87C-726CE22E56A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4F-4C98-A0F9-33F383AE482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1FDB14E-F7C3-4474-884F-1D8CA4A007A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4F-4C98-A0F9-33F383AE482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782FEE-F7BC-4F6D-B0AE-354303C5D91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4F-4C98-A0F9-33F383AE48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A1073D7-CBB9-4238-84E6-DE3D2D1270B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4F-4C98-A0F9-33F383AE482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C948DBC-D9B3-4AB0-AE78-A50A4C29A77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4F-4C98-A0F9-33F383AE482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1731856-6765-4ADA-90C8-6E31468CB73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4F-4C98-A0F9-33F383AE482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903F9D8-E054-4BF5-990D-40009698A93E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4F-4C98-A0F9-33F383AE482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C5F8EDF-86B8-4848-8146-F0019CC8E858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4F-4C98-A0F9-33F383AE482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6F5FFBC-4C9D-47A1-BF86-FF3B3190B9BC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4F-4C98-A0F9-33F383AE482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2BA7981-3522-4D63-957A-72C72182EA7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4F-4C98-A0F9-33F383AE482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6743F48-266F-4180-AA61-0EE07946E99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4F-4C98-A0F9-33F383AE482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B6EF678-A806-43A9-BE83-9C96EE7FBD5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4F-4C98-A0F9-33F383AE482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11B4876-0A38-4E9C-9B31-34AE6B963A2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4F-4C98-A0F9-33F383AE482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8E6F426-432C-4E58-ACB9-9A341665866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4F-4C98-A0F9-33F383AE482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44DCD34-23E5-4F92-B3D0-04E8EDE4995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4F-4C98-A0F9-33F383AE482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7373178-4390-4352-900D-75C791BDCBE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4F-4C98-A0F9-33F383AE482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43EE4D7-B5E8-44C5-89DD-4B090128E29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4F-4C98-A0F9-33F383AE482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CF18976-3245-4506-B918-D3C29A1AF6A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4F-4C98-A0F9-33F383AE482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8709C7B-1BF6-4309-9430-0D0CB3B9A13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4F-4C98-A0F9-33F383AE482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16B5811-C012-491C-AEB8-AFB86CC403C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4F-4C98-A0F9-33F383AE48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E3296FA-AA0E-42E6-A926-1928CBABC492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4F-4C98-A0F9-33F383AE482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E1477D1-BFA7-4C69-88B9-3B440C55C11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4F-4C98-A0F9-33F383AE482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7A83D0C-9542-4A14-8D68-190E26632DE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4F-4C98-A0F9-33F383AE482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48E4FFE-3E73-42EB-B767-AD744E4EE4A9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4F-4C98-A0F9-33F383AE482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456840A-CF27-4172-8366-5D7BC942A9B2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4F-4C98-A0F9-33F383AE482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6717DE5-EFFA-4C26-B7EE-788294573DBD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4F-4C98-A0F9-33F383AE482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245C987-4BF4-4AC1-BA1E-DF46667D17C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4F-4C98-A0F9-33F383AE482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3E30A81A-26B6-40D5-A51D-BA514E6164CD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4F-4C98-A0F9-33F383AE482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0391474-DD5C-4A6D-8ABD-514415AD199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4F-4C98-A0F9-33F383AE482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9AAC75C-7C4C-48D4-A4AB-85A346DE8FC8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4F-4C98-A0F9-33F383AE482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97D47CA4-7339-4FDA-B526-E652D0CC31D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4F-4C98-A0F9-33F383AE482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130A2641-D363-40AE-A884-ECEE38147BCC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4F-4C98-A0F9-33F383AE482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4F-4C98-A0F9-33F383AE482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4F-4C98-A0F9-33F383AE48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'első ionizációs energia'!$B$2:$B$39</c:f>
              <c:strCache>
                <c:ptCount val="3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</c:strCache>
            </c:strRef>
          </c:cat>
          <c:val>
            <c:numRef>
              <c:f>'első ionizációs energia'!$G$2:$G$39</c:f>
              <c:numCache>
                <c:formatCode>General</c:formatCode>
                <c:ptCount val="3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8.298</c:v>
                </c:pt>
                <c:pt idx="5">
                  <c:v>11.26</c:v>
                </c:pt>
                <c:pt idx="6">
                  <c:v>14.534000000000001</c:v>
                </c:pt>
                <c:pt idx="7">
                  <c:v>13.618</c:v>
                </c:pt>
                <c:pt idx="8">
                  <c:v>17.422999999999998</c:v>
                </c:pt>
                <c:pt idx="9">
                  <c:v>21.565000000000001</c:v>
                </c:pt>
                <c:pt idx="10">
                  <c:v>-10</c:v>
                </c:pt>
                <c:pt idx="11">
                  <c:v>-1</c:v>
                </c:pt>
                <c:pt idx="12">
                  <c:v>5.9859999999999998</c:v>
                </c:pt>
                <c:pt idx="13">
                  <c:v>8.1519999999999992</c:v>
                </c:pt>
                <c:pt idx="14">
                  <c:v>10.487</c:v>
                </c:pt>
                <c:pt idx="15">
                  <c:v>10.36</c:v>
                </c:pt>
                <c:pt idx="16">
                  <c:v>12.968</c:v>
                </c:pt>
                <c:pt idx="17">
                  <c:v>15.76</c:v>
                </c:pt>
                <c:pt idx="18">
                  <c:v>-10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5.9989999999999997</c:v>
                </c:pt>
                <c:pt idx="31">
                  <c:v>7.9</c:v>
                </c:pt>
                <c:pt idx="32">
                  <c:v>9.8149999999999995</c:v>
                </c:pt>
                <c:pt idx="33">
                  <c:v>9.7520000000000007</c:v>
                </c:pt>
                <c:pt idx="34">
                  <c:v>11.814</c:v>
                </c:pt>
                <c:pt idx="35">
                  <c:v>14</c:v>
                </c:pt>
                <c:pt idx="36">
                  <c:v>-10</c:v>
                </c:pt>
                <c:pt idx="37">
                  <c:v>-1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'első ionizációs energia'!$J$2:$J$37</c15:f>
                <c15:dlblRangeCache>
                  <c:ptCount val="36"/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6">
                    <c:v>N</c:v>
                  </c:pt>
                  <c:pt idx="7">
                    <c:v>O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9">
                    <c:v>Zn</c:v>
                  </c:pt>
                  <c:pt idx="30">
                    <c:v>Ga</c:v>
                  </c:pt>
                  <c:pt idx="35">
                    <c:v>Kr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FD4F-4C98-A0F9-33F383AE4829}"/>
            </c:ext>
          </c:extLst>
        </c:ser>
        <c:ser>
          <c:idx val="3"/>
          <c:order val="2"/>
          <c:tx>
            <c:strRef>
              <c:f>'első ionizációs energia'!$H$1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dPt>
            <c:idx val="2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FD4F-4C98-A0F9-33F383AE4829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FD4F-4C98-A0F9-33F383AE482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55445D9-0FA1-4954-AB3F-D473E02D538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FD4F-4C98-A0F9-33F383AE48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40C3EA-A65B-49A4-BD19-557C1146C01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4F-4C98-A0F9-33F383AE48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2237FC8-1F20-4BB0-980A-D608C103579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4F-4C98-A0F9-33F383AE48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CD138A-D8A7-40D2-B725-6063FB22D22C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4F-4C98-A0F9-33F383AE48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C82F9ED-2918-42BF-92DE-6719EF2ECA2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4F-4C98-A0F9-33F383AE482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40C2B8E-7C39-4FC9-B417-4CC47C92B23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4F-4C98-A0F9-33F383AE482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676D67B-6574-41B4-B785-9D4A3C89FBC0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4F-4C98-A0F9-33F383AE48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BF98B9B-65C5-4D09-ABA6-0DD5A2FF9B1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4F-4C98-A0F9-33F383AE482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F9AEC57-49C3-4F0D-834D-C99251A9EDC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4F-4C98-A0F9-33F383AE482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5B7075C-8975-4D8C-ABF4-D48EB863A5E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4F-4C98-A0F9-33F383AE482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1C4B98C-5DDF-4BF2-9A11-4479866F57CB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4F-4C98-A0F9-33F383AE482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70870C0-62E4-45B1-920F-E190F405880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4F-4C98-A0F9-33F383AE482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133B5F4-AA1C-402F-B2E1-7B5B66E514A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4F-4C98-A0F9-33F383AE482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91CE244-085B-4797-AF71-9CD74B4D6F5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FD4F-4C98-A0F9-33F383AE482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B0C96B5-5BC4-481D-8EB1-E51B2FBD2F9C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4F-4C98-A0F9-33F383AE482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6040981-DD2A-4CC3-84A0-CBC89785658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4F-4C98-A0F9-33F383AE482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DE7BE42-F1D5-4EEB-83DB-5031FA2E5E8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4F-4C98-A0F9-33F383AE482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B8475A1-6914-4E6B-8433-C75F6A15892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4F-4C98-A0F9-33F383AE482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83869E4-1327-4082-8394-ECED1D53F383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4F-4C98-A0F9-33F383AE482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07C6A84-181A-4FB2-A701-662A6767CDCF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4F-4C98-A0F9-33F383AE482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2C24E26-64F2-47BC-8E89-F0B2FA7E2A6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4F-4C98-A0F9-33F383AE482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E985BF0-1404-4922-A190-8BC9D536DEA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4F-4C98-A0F9-33F383AE482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A04846D-21F1-42DA-B4AA-24931F330ED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4F-4C98-A0F9-33F383AE482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6A6A867-2456-4646-96BB-974253D9CCD6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4F-4C98-A0F9-33F383AE48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93A762A-4DFF-4B8A-A46E-63FD1DAD063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4F-4C98-A0F9-33F383AE482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3401396-3D04-444E-9590-FECCCCEADBB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4F-4C98-A0F9-33F383AE482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3947639-C8F2-4DBD-875C-703C8F78348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4F-4C98-A0F9-33F383AE482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F4CC9EE-AC03-4347-8C60-ABEDD984465A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4F-4C98-A0F9-33F383AE482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DD4BAA4-119C-430F-A8E3-E6F38EB63304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4F-4C98-A0F9-33F383AE482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3DA3665-F440-4EAC-B6D3-3844451EEEDF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4F-4C98-A0F9-33F383AE482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915FC61-9EC4-4C61-A572-A063E071A5E1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4F-4C98-A0F9-33F383AE482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7827D46-8112-4AEF-97A8-C64C13809859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4F-4C98-A0F9-33F383AE482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F041BB7-FD67-491A-A2B7-62170ED8910F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4F-4C98-A0F9-33F383AE482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D684B26-A71D-4210-9703-D28B0DC044A5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4F-4C98-A0F9-33F383AE482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075236F-0A95-470E-81D1-E5BD8112F6C7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4F-4C98-A0F9-33F383AE482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871F70BD-ED1F-4A9E-90EA-BC1FA875692E}" type="CELLRANGE">
                      <a:rPr lang="hu-HU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4F-4C98-A0F9-33F383AE482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4F-4C98-A0F9-33F383AE482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4F-4C98-A0F9-33F383AE48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'első ionizációs energia'!$B$2:$B$39</c:f>
              <c:strCache>
                <c:ptCount val="38"/>
                <c:pt idx="0">
                  <c:v>H</c:v>
                </c:pt>
                <c:pt idx="1">
                  <c:v>He</c:v>
                </c:pt>
                <c:pt idx="2">
                  <c:v>Li</c:v>
                </c:pt>
                <c:pt idx="3">
                  <c:v>Be</c:v>
                </c:pt>
                <c:pt idx="4">
                  <c:v>B</c:v>
                </c:pt>
                <c:pt idx="5">
                  <c:v>C</c:v>
                </c:pt>
                <c:pt idx="6">
                  <c:v>N</c:v>
                </c:pt>
                <c:pt idx="7">
                  <c:v>O</c:v>
                </c:pt>
                <c:pt idx="8">
                  <c:v>F</c:v>
                </c:pt>
                <c:pt idx="9">
                  <c:v>Ne</c:v>
                </c:pt>
                <c:pt idx="10">
                  <c:v>Na</c:v>
                </c:pt>
                <c:pt idx="11">
                  <c:v>Mg</c:v>
                </c:pt>
                <c:pt idx="12">
                  <c:v>Al</c:v>
                </c:pt>
                <c:pt idx="13">
                  <c:v>Si</c:v>
                </c:pt>
                <c:pt idx="14">
                  <c:v>P</c:v>
                </c:pt>
                <c:pt idx="15">
                  <c:v>S</c:v>
                </c:pt>
                <c:pt idx="16">
                  <c:v>Cl</c:v>
                </c:pt>
                <c:pt idx="17">
                  <c:v>Ar</c:v>
                </c:pt>
                <c:pt idx="18">
                  <c:v>K</c:v>
                </c:pt>
                <c:pt idx="19">
                  <c:v>Ca</c:v>
                </c:pt>
                <c:pt idx="20">
                  <c:v>Sc</c:v>
                </c:pt>
                <c:pt idx="21">
                  <c:v>Ti</c:v>
                </c:pt>
                <c:pt idx="22">
                  <c:v>V</c:v>
                </c:pt>
                <c:pt idx="23">
                  <c:v>Cr</c:v>
                </c:pt>
                <c:pt idx="24">
                  <c:v>Mn</c:v>
                </c:pt>
                <c:pt idx="25">
                  <c:v>Fe</c:v>
                </c:pt>
                <c:pt idx="26">
                  <c:v>Co</c:v>
                </c:pt>
                <c:pt idx="27">
                  <c:v>Ni</c:v>
                </c:pt>
                <c:pt idx="28">
                  <c:v>Cu</c:v>
                </c:pt>
                <c:pt idx="29">
                  <c:v>Zn</c:v>
                </c:pt>
                <c:pt idx="30">
                  <c:v>Ga</c:v>
                </c:pt>
                <c:pt idx="31">
                  <c:v>Ge</c:v>
                </c:pt>
                <c:pt idx="32">
                  <c:v>As</c:v>
                </c:pt>
                <c:pt idx="33">
                  <c:v>Se</c:v>
                </c:pt>
                <c:pt idx="34">
                  <c:v>Br</c:v>
                </c:pt>
                <c:pt idx="35">
                  <c:v>Kr</c:v>
                </c:pt>
                <c:pt idx="36">
                  <c:v>Rb</c:v>
                </c:pt>
                <c:pt idx="37">
                  <c:v>Sr</c:v>
                </c:pt>
              </c:strCache>
            </c:strRef>
          </c:cat>
          <c:val>
            <c:numRef>
              <c:f>'első ionizációs energia'!$H$2:$H$39</c:f>
              <c:numCache>
                <c:formatCode>General</c:formatCode>
                <c:ptCount val="3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6.5609999999999999</c:v>
                </c:pt>
                <c:pt idx="21">
                  <c:v>6.8280000000000003</c:v>
                </c:pt>
                <c:pt idx="22">
                  <c:v>6.7460000000000004</c:v>
                </c:pt>
                <c:pt idx="23">
                  <c:v>6.7670000000000003</c:v>
                </c:pt>
                <c:pt idx="24">
                  <c:v>7.4340000000000002</c:v>
                </c:pt>
                <c:pt idx="25">
                  <c:v>7.9020000000000001</c:v>
                </c:pt>
                <c:pt idx="26">
                  <c:v>7.8810000000000002</c:v>
                </c:pt>
                <c:pt idx="27">
                  <c:v>7.64</c:v>
                </c:pt>
                <c:pt idx="28">
                  <c:v>7.726</c:v>
                </c:pt>
                <c:pt idx="29">
                  <c:v>9.3940000000000001</c:v>
                </c:pt>
                <c:pt idx="30">
                  <c:v>-10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'első ionizációs energia'!$J$2:$J$37</c15:f>
                <c15:dlblRangeCache>
                  <c:ptCount val="36"/>
                  <c:pt idx="0">
                    <c:v>H</c:v>
                  </c:pt>
                  <c:pt idx="1">
                    <c:v>He</c:v>
                  </c:pt>
                  <c:pt idx="2">
                    <c:v>Li</c:v>
                  </c:pt>
                  <c:pt idx="6">
                    <c:v>N</c:v>
                  </c:pt>
                  <c:pt idx="7">
                    <c:v>O</c:v>
                  </c:pt>
                  <c:pt idx="9">
                    <c:v>Ne</c:v>
                  </c:pt>
                  <c:pt idx="10">
                    <c:v>Na</c:v>
                  </c:pt>
                  <c:pt idx="11">
                    <c:v>Mg</c:v>
                  </c:pt>
                  <c:pt idx="12">
                    <c:v>Al</c:v>
                  </c:pt>
                  <c:pt idx="17">
                    <c:v>Ar</c:v>
                  </c:pt>
                  <c:pt idx="18">
                    <c:v>K</c:v>
                  </c:pt>
                  <c:pt idx="19">
                    <c:v>Ca</c:v>
                  </c:pt>
                  <c:pt idx="29">
                    <c:v>Zn</c:v>
                  </c:pt>
                  <c:pt idx="30">
                    <c:v>Ga</c:v>
                  </c:pt>
                  <c:pt idx="35">
                    <c:v>Kr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FD4F-4C98-A0F9-33F383AE48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5630367"/>
        <c:axId val="905631807"/>
      </c:lineChart>
      <c:catAx>
        <c:axId val="90563036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05631807"/>
        <c:crosses val="autoZero"/>
        <c:auto val="1"/>
        <c:lblAlgn val="ctr"/>
        <c:lblOffset val="100"/>
        <c:noMultiLvlLbl val="0"/>
      </c:catAx>
      <c:valAx>
        <c:axId val="9056318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0563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</xdr:row>
      <xdr:rowOff>68580</xdr:rowOff>
    </xdr:from>
    <xdr:to>
      <xdr:col>15</xdr:col>
      <xdr:colOff>594360</xdr:colOff>
      <xdr:row>16</xdr:row>
      <xdr:rowOff>68580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91DE5C1A-80BB-F57B-4123-B3CCC8326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310030</xdr:colOff>
      <xdr:row>17</xdr:row>
      <xdr:rowOff>21665</xdr:rowOff>
    </xdr:from>
    <xdr:to>
      <xdr:col>15</xdr:col>
      <xdr:colOff>593912</xdr:colOff>
      <xdr:row>32</xdr:row>
      <xdr:rowOff>75453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C59C88B7-7F52-B7B1-0C2F-EEA7CFAEE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260722</xdr:colOff>
      <xdr:row>33</xdr:row>
      <xdr:rowOff>114300</xdr:rowOff>
    </xdr:from>
    <xdr:to>
      <xdr:col>17</xdr:col>
      <xdr:colOff>425824</xdr:colOff>
      <xdr:row>48</xdr:row>
      <xdr:rowOff>168088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C23E95D9-7536-54CD-359F-C6E1DDCAA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382537</xdr:colOff>
      <xdr:row>1</xdr:row>
      <xdr:rowOff>122817</xdr:rowOff>
    </xdr:from>
    <xdr:to>
      <xdr:col>18</xdr:col>
      <xdr:colOff>77736</xdr:colOff>
      <xdr:row>16</xdr:row>
      <xdr:rowOff>122816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1E261EF-DEFE-A906-1D24-E609AC291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17</xdr:row>
      <xdr:rowOff>57150</xdr:rowOff>
    </xdr:from>
    <xdr:to>
      <xdr:col>17</xdr:col>
      <xdr:colOff>9525</xdr:colOff>
      <xdr:row>32</xdr:row>
      <xdr:rowOff>57150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3054D941-5C73-1026-247D-DE84E506A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200025</xdr:colOff>
      <xdr:row>36</xdr:row>
      <xdr:rowOff>76200</xdr:rowOff>
    </xdr:from>
    <xdr:to>
      <xdr:col>17</xdr:col>
      <xdr:colOff>504825</xdr:colOff>
      <xdr:row>51</xdr:row>
      <xdr:rowOff>76200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B6D355B-9F03-4DFA-92CD-7A38811A7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147152</xdr:colOff>
      <xdr:row>0</xdr:row>
      <xdr:rowOff>171450</xdr:rowOff>
    </xdr:from>
    <xdr:to>
      <xdr:col>26</xdr:col>
      <xdr:colOff>448842</xdr:colOff>
      <xdr:row>15</xdr:row>
      <xdr:rowOff>171450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1A0E87DF-B340-4F8F-BFA9-6244C94C8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342823</xdr:colOff>
      <xdr:row>1</xdr:row>
      <xdr:rowOff>13624</xdr:rowOff>
    </xdr:from>
    <xdr:to>
      <xdr:col>17</xdr:col>
      <xdr:colOff>530629</xdr:colOff>
      <xdr:row>16</xdr:row>
      <xdr:rowOff>13624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E5B43AB-B292-7A8E-7E99-CDE0DADE3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496784</xdr:colOff>
      <xdr:row>16</xdr:row>
      <xdr:rowOff>18363</xdr:rowOff>
    </xdr:from>
    <xdr:to>
      <xdr:col>18</xdr:col>
      <xdr:colOff>76530</xdr:colOff>
      <xdr:row>31</xdr:row>
      <xdr:rowOff>18363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A83CC95D-36B0-3E68-0383-175C5080F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472440</xdr:colOff>
      <xdr:row>7</xdr:row>
      <xdr:rowOff>83820</xdr:rowOff>
    </xdr:from>
    <xdr:to>
      <xdr:col>24</xdr:col>
      <xdr:colOff>548640</xdr:colOff>
      <xdr:row>22</xdr:row>
      <xdr:rowOff>83820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FA12954-F258-7E21-A3F6-E9B61C568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442576</xdr:colOff>
      <xdr:row>33</xdr:row>
      <xdr:rowOff>115454</xdr:rowOff>
    </xdr:from>
    <xdr:to>
      <xdr:col>17</xdr:col>
      <xdr:colOff>20416</xdr:colOff>
      <xdr:row>48</xdr:row>
      <xdr:rowOff>115455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5E7E9763-808F-4BF2-A6AD-EA7188E8E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53</xdr:row>
      <xdr:rowOff>0</xdr:rowOff>
    </xdr:from>
    <xdr:to>
      <xdr:col>17</xdr:col>
      <xdr:colOff>185882</xdr:colOff>
      <xdr:row>68</xdr:row>
      <xdr:rowOff>1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E37429E6-E10F-4052-9B99-9AC3D9174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FFD1-7F47-4698-8406-DBC5E9F910EB}">
  <dimension ref="A1:I119"/>
  <sheetViews>
    <sheetView topLeftCell="G28" zoomScale="102" zoomScaleNormal="102" workbookViewId="0">
      <selection activeCell="T44" sqref="T44"/>
    </sheetView>
  </sheetViews>
  <sheetFormatPr defaultRowHeight="14.4" x14ac:dyDescent="0.3"/>
  <cols>
    <col min="1" max="8" width="8.88671875" style="1"/>
    <col min="10" max="16384" width="8.88671875" style="1"/>
  </cols>
  <sheetData>
    <row r="1" spans="1:9" x14ac:dyDescent="0.3">
      <c r="A1" s="1" t="s">
        <v>242</v>
      </c>
      <c r="B1" s="1" t="s">
        <v>243</v>
      </c>
      <c r="C1" s="1" t="s">
        <v>244</v>
      </c>
      <c r="D1" s="1" t="s">
        <v>241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247</v>
      </c>
    </row>
    <row r="2" spans="1:9" x14ac:dyDescent="0.3">
      <c r="A2" s="1">
        <v>1</v>
      </c>
      <c r="B2" s="1" t="s">
        <v>0</v>
      </c>
      <c r="C2" s="1" t="s">
        <v>1</v>
      </c>
      <c r="D2" s="1">
        <f t="shared" ref="D2:D33" si="0">IF(H2,H2,IF(G2,G2,IF(F2,F2,E2)))</f>
        <v>2.2000000000000002</v>
      </c>
      <c r="E2" s="1">
        <v>2.2000000000000002</v>
      </c>
      <c r="I2" t="s">
        <v>0</v>
      </c>
    </row>
    <row r="3" spans="1:9" x14ac:dyDescent="0.3">
      <c r="A3" s="1">
        <v>2</v>
      </c>
      <c r="B3" s="1" t="s">
        <v>2</v>
      </c>
      <c r="C3" s="1" t="s">
        <v>3</v>
      </c>
      <c r="D3" s="1">
        <f t="shared" si="0"/>
        <v>0</v>
      </c>
      <c r="E3" s="1">
        <v>0</v>
      </c>
      <c r="I3" t="s">
        <v>2</v>
      </c>
    </row>
    <row r="4" spans="1:9" x14ac:dyDescent="0.3">
      <c r="A4" s="1">
        <v>3</v>
      </c>
      <c r="B4" s="1" t="s">
        <v>5</v>
      </c>
      <c r="C4" s="1" t="s">
        <v>6</v>
      </c>
      <c r="D4" s="1">
        <f t="shared" si="0"/>
        <v>0.98</v>
      </c>
      <c r="E4" s="1">
        <v>0.98</v>
      </c>
    </row>
    <row r="5" spans="1:9" x14ac:dyDescent="0.3">
      <c r="A5" s="1">
        <v>4</v>
      </c>
      <c r="B5" s="1" t="s">
        <v>7</v>
      </c>
      <c r="C5" s="1" t="s">
        <v>8</v>
      </c>
      <c r="D5" s="1">
        <f t="shared" si="0"/>
        <v>1.57</v>
      </c>
      <c r="E5" s="1">
        <v>1.57</v>
      </c>
    </row>
    <row r="6" spans="1:9" x14ac:dyDescent="0.3">
      <c r="A6" s="1">
        <v>5</v>
      </c>
      <c r="B6" s="1" t="s">
        <v>9</v>
      </c>
      <c r="C6" s="1" t="s">
        <v>10</v>
      </c>
      <c r="D6" s="1">
        <f t="shared" si="0"/>
        <v>2.04</v>
      </c>
      <c r="F6" s="1">
        <v>2.04</v>
      </c>
    </row>
    <row r="7" spans="1:9" x14ac:dyDescent="0.3">
      <c r="A7" s="1">
        <v>6</v>
      </c>
      <c r="B7" s="1" t="s">
        <v>11</v>
      </c>
      <c r="C7" s="1" t="s">
        <v>12</v>
      </c>
      <c r="D7" s="1">
        <f t="shared" si="0"/>
        <v>2.5499999999999998</v>
      </c>
      <c r="F7" s="1">
        <v>2.5499999999999998</v>
      </c>
    </row>
    <row r="8" spans="1:9" x14ac:dyDescent="0.3">
      <c r="A8" s="1">
        <v>7</v>
      </c>
      <c r="B8" s="1" t="s">
        <v>13</v>
      </c>
      <c r="C8" s="1" t="s">
        <v>14</v>
      </c>
      <c r="D8" s="1">
        <f t="shared" si="0"/>
        <v>3.04</v>
      </c>
      <c r="F8" s="1">
        <v>3.04</v>
      </c>
    </row>
    <row r="9" spans="1:9" x14ac:dyDescent="0.3">
      <c r="A9" s="1">
        <v>8</v>
      </c>
      <c r="B9" s="1" t="s">
        <v>15</v>
      </c>
      <c r="C9" s="1" t="s">
        <v>16</v>
      </c>
      <c r="D9" s="1">
        <f t="shared" si="0"/>
        <v>3.44</v>
      </c>
      <c r="F9" s="1">
        <v>3.44</v>
      </c>
    </row>
    <row r="10" spans="1:9" x14ac:dyDescent="0.3">
      <c r="A10" s="1">
        <v>9</v>
      </c>
      <c r="B10" s="1" t="s">
        <v>17</v>
      </c>
      <c r="C10" s="1" t="s">
        <v>18</v>
      </c>
      <c r="D10" s="1">
        <f t="shared" si="0"/>
        <v>3.98</v>
      </c>
      <c r="F10" s="1">
        <v>3.98</v>
      </c>
      <c r="I10" t="s">
        <v>17</v>
      </c>
    </row>
    <row r="11" spans="1:9" x14ac:dyDescent="0.3">
      <c r="A11" s="1">
        <v>10</v>
      </c>
      <c r="B11" s="1" t="s">
        <v>19</v>
      </c>
      <c r="C11" s="1" t="s">
        <v>20</v>
      </c>
      <c r="D11" s="1">
        <f t="shared" si="0"/>
        <v>0</v>
      </c>
      <c r="F11" s="1">
        <v>0</v>
      </c>
      <c r="I11" t="s">
        <v>19</v>
      </c>
    </row>
    <row r="12" spans="1:9" x14ac:dyDescent="0.3">
      <c r="A12" s="1">
        <v>11</v>
      </c>
      <c r="B12" s="1" t="s">
        <v>21</v>
      </c>
      <c r="C12" s="1" t="s">
        <v>22</v>
      </c>
      <c r="D12" s="1">
        <f t="shared" si="0"/>
        <v>0.93</v>
      </c>
      <c r="E12" s="1">
        <v>0.93</v>
      </c>
    </row>
    <row r="13" spans="1:9" x14ac:dyDescent="0.3">
      <c r="A13" s="1">
        <v>12</v>
      </c>
      <c r="B13" s="1" t="s">
        <v>23</v>
      </c>
      <c r="C13" s="1" t="s">
        <v>24</v>
      </c>
      <c r="D13" s="1">
        <f t="shared" si="0"/>
        <v>1.31</v>
      </c>
      <c r="E13" s="1">
        <v>1.31</v>
      </c>
    </row>
    <row r="14" spans="1:9" x14ac:dyDescent="0.3">
      <c r="A14" s="1">
        <v>13</v>
      </c>
      <c r="B14" s="1" t="s">
        <v>25</v>
      </c>
      <c r="C14" s="1" t="s">
        <v>26</v>
      </c>
      <c r="D14" s="1">
        <f t="shared" si="0"/>
        <v>1.61</v>
      </c>
      <c r="F14" s="1">
        <v>1.61</v>
      </c>
    </row>
    <row r="15" spans="1:9" x14ac:dyDescent="0.3">
      <c r="A15" s="1">
        <v>14</v>
      </c>
      <c r="B15" s="1" t="s">
        <v>27</v>
      </c>
      <c r="C15" s="1" t="s">
        <v>28</v>
      </c>
      <c r="D15" s="1">
        <f t="shared" si="0"/>
        <v>1.9</v>
      </c>
      <c r="F15" s="1">
        <v>1.9</v>
      </c>
    </row>
    <row r="16" spans="1:9" x14ac:dyDescent="0.3">
      <c r="A16" s="1">
        <v>15</v>
      </c>
      <c r="B16" s="1" t="s">
        <v>29</v>
      </c>
      <c r="C16" s="1" t="s">
        <v>30</v>
      </c>
      <c r="D16" s="1">
        <f t="shared" si="0"/>
        <v>2.19</v>
      </c>
      <c r="F16" s="1">
        <v>2.19</v>
      </c>
    </row>
    <row r="17" spans="1:9" x14ac:dyDescent="0.3">
      <c r="A17" s="1">
        <v>16</v>
      </c>
      <c r="B17" s="1" t="s">
        <v>31</v>
      </c>
      <c r="C17" s="1" t="s">
        <v>32</v>
      </c>
      <c r="D17" s="1">
        <f t="shared" si="0"/>
        <v>2.58</v>
      </c>
      <c r="F17" s="1">
        <v>2.58</v>
      </c>
    </row>
    <row r="18" spans="1:9" x14ac:dyDescent="0.3">
      <c r="A18" s="1">
        <v>17</v>
      </c>
      <c r="B18" s="1" t="s">
        <v>33</v>
      </c>
      <c r="C18" s="1" t="s">
        <v>34</v>
      </c>
      <c r="D18" s="1">
        <f t="shared" si="0"/>
        <v>3.16</v>
      </c>
      <c r="F18" s="1">
        <v>3.16</v>
      </c>
      <c r="I18" t="s">
        <v>33</v>
      </c>
    </row>
    <row r="19" spans="1:9" x14ac:dyDescent="0.3">
      <c r="A19" s="1">
        <v>18</v>
      </c>
      <c r="B19" s="1" t="s">
        <v>35</v>
      </c>
      <c r="C19" s="1" t="s">
        <v>36</v>
      </c>
      <c r="D19" s="1">
        <f t="shared" si="0"/>
        <v>0</v>
      </c>
      <c r="F19" s="1">
        <v>0</v>
      </c>
      <c r="I19" t="s">
        <v>35</v>
      </c>
    </row>
    <row r="20" spans="1:9" x14ac:dyDescent="0.3">
      <c r="A20" s="1">
        <v>19</v>
      </c>
      <c r="B20" s="1" t="s">
        <v>37</v>
      </c>
      <c r="C20" s="1" t="s">
        <v>38</v>
      </c>
      <c r="D20" s="1">
        <f t="shared" si="0"/>
        <v>0.82</v>
      </c>
      <c r="E20" s="1">
        <v>0.82</v>
      </c>
    </row>
    <row r="21" spans="1:9" x14ac:dyDescent="0.3">
      <c r="A21" s="1">
        <v>20</v>
      </c>
      <c r="B21" s="1" t="s">
        <v>39</v>
      </c>
      <c r="C21" s="1" t="s">
        <v>40</v>
      </c>
      <c r="D21" s="1">
        <f t="shared" si="0"/>
        <v>1</v>
      </c>
      <c r="E21" s="1">
        <v>1</v>
      </c>
    </row>
    <row r="22" spans="1:9" x14ac:dyDescent="0.3">
      <c r="A22" s="1">
        <v>21</v>
      </c>
      <c r="B22" s="1" t="s">
        <v>41</v>
      </c>
      <c r="C22" s="1" t="s">
        <v>42</v>
      </c>
      <c r="D22" s="1">
        <f t="shared" si="0"/>
        <v>1.36</v>
      </c>
      <c r="G22" s="1">
        <v>1.36</v>
      </c>
    </row>
    <row r="23" spans="1:9" x14ac:dyDescent="0.3">
      <c r="A23" s="1">
        <v>22</v>
      </c>
      <c r="B23" s="1" t="s">
        <v>43</v>
      </c>
      <c r="C23" s="1" t="s">
        <v>44</v>
      </c>
      <c r="D23" s="1">
        <f t="shared" si="0"/>
        <v>1.54</v>
      </c>
      <c r="G23" s="1">
        <v>1.54</v>
      </c>
    </row>
    <row r="24" spans="1:9" x14ac:dyDescent="0.3">
      <c r="A24" s="1">
        <v>23</v>
      </c>
      <c r="B24" s="1" t="s">
        <v>45</v>
      </c>
      <c r="C24" s="1" t="s">
        <v>46</v>
      </c>
      <c r="D24" s="1">
        <f t="shared" si="0"/>
        <v>1.63</v>
      </c>
      <c r="G24" s="1">
        <v>1.63</v>
      </c>
    </row>
    <row r="25" spans="1:9" x14ac:dyDescent="0.3">
      <c r="A25" s="1">
        <v>24</v>
      </c>
      <c r="B25" s="1" t="s">
        <v>47</v>
      </c>
      <c r="C25" s="1" t="s">
        <v>48</v>
      </c>
      <c r="D25" s="1">
        <f t="shared" si="0"/>
        <v>1.66</v>
      </c>
      <c r="G25" s="1">
        <v>1.66</v>
      </c>
    </row>
    <row r="26" spans="1:9" x14ac:dyDescent="0.3">
      <c r="A26" s="1">
        <v>25</v>
      </c>
      <c r="B26" s="1" t="s">
        <v>49</v>
      </c>
      <c r="C26" s="1" t="s">
        <v>50</v>
      </c>
      <c r="D26" s="1">
        <f t="shared" si="0"/>
        <v>1.55</v>
      </c>
      <c r="G26" s="1">
        <v>1.55</v>
      </c>
      <c r="I26" t="s">
        <v>49</v>
      </c>
    </row>
    <row r="27" spans="1:9" x14ac:dyDescent="0.3">
      <c r="A27" s="1">
        <v>26</v>
      </c>
      <c r="B27" s="1" t="s">
        <v>51</v>
      </c>
      <c r="C27" s="1" t="s">
        <v>52</v>
      </c>
      <c r="D27" s="1">
        <f t="shared" si="0"/>
        <v>1.83</v>
      </c>
      <c r="G27" s="1">
        <v>1.83</v>
      </c>
    </row>
    <row r="28" spans="1:9" x14ac:dyDescent="0.3">
      <c r="A28" s="1">
        <v>27</v>
      </c>
      <c r="B28" s="1" t="s">
        <v>53</v>
      </c>
      <c r="C28" s="1" t="s">
        <v>54</v>
      </c>
      <c r="D28" s="1">
        <f t="shared" si="0"/>
        <v>1.88</v>
      </c>
      <c r="G28" s="1">
        <v>1.88</v>
      </c>
    </row>
    <row r="29" spans="1:9" x14ac:dyDescent="0.3">
      <c r="A29" s="1">
        <v>28</v>
      </c>
      <c r="B29" s="1" t="s">
        <v>55</v>
      </c>
      <c r="C29" s="1" t="s">
        <v>56</v>
      </c>
      <c r="D29" s="1">
        <f t="shared" si="0"/>
        <v>1.91</v>
      </c>
      <c r="G29" s="1">
        <v>1.91</v>
      </c>
    </row>
    <row r="30" spans="1:9" x14ac:dyDescent="0.3">
      <c r="A30" s="1">
        <v>29</v>
      </c>
      <c r="B30" s="1" t="s">
        <v>57</v>
      </c>
      <c r="C30" s="1" t="s">
        <v>58</v>
      </c>
      <c r="D30" s="1">
        <f t="shared" si="0"/>
        <v>1.9</v>
      </c>
      <c r="G30" s="1">
        <v>1.9</v>
      </c>
    </row>
    <row r="31" spans="1:9" x14ac:dyDescent="0.3">
      <c r="A31" s="1">
        <v>30</v>
      </c>
      <c r="B31" s="1" t="s">
        <v>59</v>
      </c>
      <c r="C31" s="1" t="s">
        <v>60</v>
      </c>
      <c r="D31" s="1">
        <f t="shared" si="0"/>
        <v>1.65</v>
      </c>
      <c r="G31" s="1">
        <v>1.65</v>
      </c>
      <c r="I31" t="s">
        <v>59</v>
      </c>
    </row>
    <row r="32" spans="1:9" x14ac:dyDescent="0.3">
      <c r="A32" s="1">
        <v>31</v>
      </c>
      <c r="B32" s="1" t="s">
        <v>61</v>
      </c>
      <c r="C32" s="1" t="s">
        <v>62</v>
      </c>
      <c r="D32" s="1">
        <f t="shared" si="0"/>
        <v>1.81</v>
      </c>
      <c r="F32" s="1">
        <v>1.81</v>
      </c>
    </row>
    <row r="33" spans="1:9" x14ac:dyDescent="0.3">
      <c r="A33" s="1">
        <v>32</v>
      </c>
      <c r="B33" s="1" t="s">
        <v>63</v>
      </c>
      <c r="C33" s="1" t="s">
        <v>64</v>
      </c>
      <c r="D33" s="1">
        <f t="shared" si="0"/>
        <v>2.0099999999999998</v>
      </c>
      <c r="F33" s="1">
        <v>2.0099999999999998</v>
      </c>
    </row>
    <row r="34" spans="1:9" x14ac:dyDescent="0.3">
      <c r="A34" s="1">
        <v>33</v>
      </c>
      <c r="B34" s="1" t="s">
        <v>65</v>
      </c>
      <c r="C34" s="1" t="s">
        <v>66</v>
      </c>
      <c r="D34" s="1">
        <f t="shared" ref="D34:D65" si="1">IF(H34,H34,IF(G34,G34,IF(F34,F34,E34)))</f>
        <v>2.1800000000000002</v>
      </c>
      <c r="F34" s="1">
        <v>2.1800000000000002</v>
      </c>
    </row>
    <row r="35" spans="1:9" x14ac:dyDescent="0.3">
      <c r="A35" s="1">
        <v>34</v>
      </c>
      <c r="B35" s="1" t="s">
        <v>67</v>
      </c>
      <c r="C35" s="1" t="s">
        <v>68</v>
      </c>
      <c r="D35" s="1">
        <f t="shared" si="1"/>
        <v>2.5499999999999998</v>
      </c>
      <c r="F35" s="1">
        <v>2.5499999999999998</v>
      </c>
    </row>
    <row r="36" spans="1:9" x14ac:dyDescent="0.3">
      <c r="A36" s="1">
        <v>35</v>
      </c>
      <c r="B36" s="1" t="s">
        <v>69</v>
      </c>
      <c r="C36" s="1" t="s">
        <v>70</v>
      </c>
      <c r="D36" s="1">
        <f t="shared" si="1"/>
        <v>2.96</v>
      </c>
      <c r="F36" s="1">
        <v>2.96</v>
      </c>
      <c r="I36" t="s">
        <v>69</v>
      </c>
    </row>
    <row r="37" spans="1:9" x14ac:dyDescent="0.3">
      <c r="A37" s="1">
        <v>36</v>
      </c>
      <c r="B37" s="1" t="s">
        <v>71</v>
      </c>
      <c r="C37" s="1" t="s">
        <v>72</v>
      </c>
      <c r="D37" s="1">
        <f t="shared" si="1"/>
        <v>3</v>
      </c>
      <c r="F37" s="1">
        <v>3</v>
      </c>
    </row>
    <row r="38" spans="1:9" x14ac:dyDescent="0.3">
      <c r="A38" s="1">
        <v>37</v>
      </c>
      <c r="B38" s="1" t="s">
        <v>73</v>
      </c>
      <c r="C38" s="1" t="s">
        <v>74</v>
      </c>
      <c r="D38" s="1">
        <f t="shared" si="1"/>
        <v>0.82</v>
      </c>
      <c r="E38" s="1">
        <v>0.82</v>
      </c>
    </row>
    <row r="39" spans="1:9" x14ac:dyDescent="0.3">
      <c r="A39" s="1">
        <v>38</v>
      </c>
      <c r="B39" s="1" t="s">
        <v>75</v>
      </c>
      <c r="C39" s="1" t="s">
        <v>76</v>
      </c>
      <c r="D39" s="1">
        <f t="shared" si="1"/>
        <v>0.95</v>
      </c>
      <c r="E39" s="1">
        <v>0.95</v>
      </c>
    </row>
    <row r="40" spans="1:9" x14ac:dyDescent="0.3">
      <c r="A40" s="1">
        <v>39</v>
      </c>
      <c r="B40" s="1" t="s">
        <v>77</v>
      </c>
      <c r="C40" s="1" t="s">
        <v>78</v>
      </c>
      <c r="D40" s="1">
        <f t="shared" si="1"/>
        <v>1.22</v>
      </c>
      <c r="G40" s="1">
        <v>1.22</v>
      </c>
    </row>
    <row r="41" spans="1:9" x14ac:dyDescent="0.3">
      <c r="A41" s="1">
        <v>40</v>
      </c>
      <c r="B41" s="1" t="s">
        <v>79</v>
      </c>
      <c r="C41" s="1" t="s">
        <v>80</v>
      </c>
      <c r="D41" s="1">
        <f t="shared" si="1"/>
        <v>1.33</v>
      </c>
      <c r="G41" s="1">
        <v>1.33</v>
      </c>
    </row>
    <row r="42" spans="1:9" x14ac:dyDescent="0.3">
      <c r="A42" s="1">
        <v>41</v>
      </c>
      <c r="B42" s="1" t="s">
        <v>81</v>
      </c>
      <c r="C42" s="1" t="s">
        <v>82</v>
      </c>
      <c r="D42" s="1">
        <f t="shared" si="1"/>
        <v>1.6</v>
      </c>
      <c r="G42" s="1">
        <v>1.6</v>
      </c>
    </row>
    <row r="43" spans="1:9" x14ac:dyDescent="0.3">
      <c r="A43" s="1">
        <v>42</v>
      </c>
      <c r="B43" s="1" t="s">
        <v>83</v>
      </c>
      <c r="C43" s="1" t="s">
        <v>84</v>
      </c>
      <c r="D43" s="1">
        <f t="shared" si="1"/>
        <v>2.16</v>
      </c>
      <c r="G43" s="1">
        <v>2.16</v>
      </c>
    </row>
    <row r="44" spans="1:9" x14ac:dyDescent="0.3">
      <c r="A44" s="1">
        <v>43</v>
      </c>
      <c r="B44" s="1" t="s">
        <v>85</v>
      </c>
      <c r="C44" s="1" t="s">
        <v>86</v>
      </c>
      <c r="D44" s="1">
        <f t="shared" si="1"/>
        <v>1.9</v>
      </c>
      <c r="G44" s="1">
        <v>1.9</v>
      </c>
    </row>
    <row r="45" spans="1:9" x14ac:dyDescent="0.3">
      <c r="A45" s="1">
        <v>44</v>
      </c>
      <c r="B45" s="1" t="s">
        <v>87</v>
      </c>
      <c r="C45" s="1" t="s">
        <v>88</v>
      </c>
      <c r="D45" s="1">
        <f t="shared" si="1"/>
        <v>2.2000000000000002</v>
      </c>
      <c r="G45" s="1">
        <v>2.2000000000000002</v>
      </c>
    </row>
    <row r="46" spans="1:9" x14ac:dyDescent="0.3">
      <c r="A46" s="1">
        <v>45</v>
      </c>
      <c r="B46" s="1" t="s">
        <v>89</v>
      </c>
      <c r="C46" s="1" t="s">
        <v>90</v>
      </c>
      <c r="D46" s="1">
        <f t="shared" si="1"/>
        <v>2.2799999999999998</v>
      </c>
      <c r="G46" s="1">
        <v>2.2799999999999998</v>
      </c>
    </row>
    <row r="47" spans="1:9" x14ac:dyDescent="0.3">
      <c r="A47" s="1">
        <v>46</v>
      </c>
      <c r="B47" s="1" t="s">
        <v>91</v>
      </c>
      <c r="C47" s="1" t="s">
        <v>92</v>
      </c>
      <c r="D47" s="1">
        <f t="shared" si="1"/>
        <v>2.2000000000000002</v>
      </c>
      <c r="G47" s="1">
        <v>2.2000000000000002</v>
      </c>
    </row>
    <row r="48" spans="1:9" x14ac:dyDescent="0.3">
      <c r="A48" s="1">
        <v>47</v>
      </c>
      <c r="B48" s="1" t="s">
        <v>93</v>
      </c>
      <c r="C48" s="1" t="s">
        <v>94</v>
      </c>
      <c r="D48" s="1">
        <f t="shared" si="1"/>
        <v>1.93</v>
      </c>
      <c r="G48" s="1">
        <v>1.93</v>
      </c>
    </row>
    <row r="49" spans="1:8" x14ac:dyDescent="0.3">
      <c r="A49" s="1">
        <v>48</v>
      </c>
      <c r="B49" s="1" t="s">
        <v>95</v>
      </c>
      <c r="C49" s="1" t="s">
        <v>96</v>
      </c>
      <c r="D49" s="1">
        <f t="shared" si="1"/>
        <v>1.69</v>
      </c>
      <c r="G49" s="1">
        <v>1.69</v>
      </c>
    </row>
    <row r="50" spans="1:8" x14ac:dyDescent="0.3">
      <c r="A50" s="1">
        <v>49</v>
      </c>
      <c r="B50" s="1" t="s">
        <v>97</v>
      </c>
      <c r="C50" s="1" t="s">
        <v>98</v>
      </c>
      <c r="D50" s="1">
        <f t="shared" si="1"/>
        <v>1.78</v>
      </c>
      <c r="F50" s="1">
        <v>1.78</v>
      </c>
    </row>
    <row r="51" spans="1:8" x14ac:dyDescent="0.3">
      <c r="A51" s="1">
        <v>50</v>
      </c>
      <c r="B51" s="1" t="s">
        <v>99</v>
      </c>
      <c r="C51" s="1" t="s">
        <v>100</v>
      </c>
      <c r="D51" s="1">
        <f t="shared" si="1"/>
        <v>1.96</v>
      </c>
      <c r="F51" s="1">
        <v>1.96</v>
      </c>
    </row>
    <row r="52" spans="1:8" x14ac:dyDescent="0.3">
      <c r="A52" s="1">
        <v>51</v>
      </c>
      <c r="B52" s="1" t="s">
        <v>101</v>
      </c>
      <c r="C52" s="1" t="s">
        <v>102</v>
      </c>
      <c r="D52" s="1">
        <f t="shared" si="1"/>
        <v>2.0499999999999998</v>
      </c>
      <c r="F52" s="1">
        <v>2.0499999999999998</v>
      </c>
    </row>
    <row r="53" spans="1:8" x14ac:dyDescent="0.3">
      <c r="A53" s="1">
        <v>52</v>
      </c>
      <c r="B53" s="1" t="s">
        <v>103</v>
      </c>
      <c r="C53" s="1" t="s">
        <v>104</v>
      </c>
      <c r="D53" s="1">
        <f t="shared" si="1"/>
        <v>2.1</v>
      </c>
      <c r="F53" s="1">
        <v>2.1</v>
      </c>
    </row>
    <row r="54" spans="1:8" x14ac:dyDescent="0.3">
      <c r="A54" s="1">
        <v>53</v>
      </c>
      <c r="B54" s="1" t="s">
        <v>105</v>
      </c>
      <c r="C54" s="1" t="s">
        <v>106</v>
      </c>
      <c r="D54" s="1">
        <f t="shared" si="1"/>
        <v>2.66</v>
      </c>
      <c r="F54" s="1">
        <v>2.66</v>
      </c>
    </row>
    <row r="55" spans="1:8" x14ac:dyDescent="0.3">
      <c r="A55" s="1">
        <v>54</v>
      </c>
      <c r="B55" s="1" t="s">
        <v>107</v>
      </c>
      <c r="C55" s="1" t="s">
        <v>108</v>
      </c>
      <c r="D55" s="1">
        <f t="shared" si="1"/>
        <v>2.6</v>
      </c>
      <c r="F55" s="1">
        <v>2.6</v>
      </c>
    </row>
    <row r="56" spans="1:8" x14ac:dyDescent="0.3">
      <c r="A56" s="1">
        <v>55</v>
      </c>
      <c r="B56" s="1" t="s">
        <v>109</v>
      </c>
      <c r="C56" s="1" t="s">
        <v>110</v>
      </c>
      <c r="D56" s="1">
        <f t="shared" si="1"/>
        <v>0.79</v>
      </c>
      <c r="E56" s="1">
        <v>0.79</v>
      </c>
    </row>
    <row r="57" spans="1:8" x14ac:dyDescent="0.3">
      <c r="A57" s="1">
        <v>56</v>
      </c>
      <c r="B57" s="1" t="s">
        <v>111</v>
      </c>
      <c r="C57" s="1" t="s">
        <v>112</v>
      </c>
      <c r="D57" s="1">
        <f t="shared" si="1"/>
        <v>0.89</v>
      </c>
      <c r="E57" s="1">
        <v>0.89</v>
      </c>
    </row>
    <row r="58" spans="1:8" x14ac:dyDescent="0.3">
      <c r="A58" s="1">
        <v>57</v>
      </c>
      <c r="B58" s="1" t="s">
        <v>113</v>
      </c>
      <c r="C58" s="1" t="s">
        <v>114</v>
      </c>
      <c r="D58" s="1">
        <f t="shared" si="1"/>
        <v>1.1000000000000001</v>
      </c>
      <c r="H58" s="1">
        <v>1.1000000000000001</v>
      </c>
    </row>
    <row r="59" spans="1:8" x14ac:dyDescent="0.3">
      <c r="A59" s="1">
        <v>58</v>
      </c>
      <c r="B59" s="1" t="s">
        <v>115</v>
      </c>
      <c r="C59" s="1" t="s">
        <v>116</v>
      </c>
      <c r="D59" s="1">
        <f t="shared" si="1"/>
        <v>1.1200000000000001</v>
      </c>
      <c r="H59" s="1">
        <v>1.1200000000000001</v>
      </c>
    </row>
    <row r="60" spans="1:8" x14ac:dyDescent="0.3">
      <c r="A60" s="1">
        <v>59</v>
      </c>
      <c r="B60" s="1" t="s">
        <v>117</v>
      </c>
      <c r="C60" s="1" t="s">
        <v>118</v>
      </c>
      <c r="D60" s="1">
        <f t="shared" si="1"/>
        <v>1.1299999999999999</v>
      </c>
      <c r="H60" s="1">
        <v>1.1299999999999999</v>
      </c>
    </row>
    <row r="61" spans="1:8" x14ac:dyDescent="0.3">
      <c r="A61" s="1">
        <v>60</v>
      </c>
      <c r="B61" s="1" t="s">
        <v>119</v>
      </c>
      <c r="C61" s="1" t="s">
        <v>120</v>
      </c>
      <c r="D61" s="1">
        <f t="shared" si="1"/>
        <v>1.1399999999999999</v>
      </c>
      <c r="H61" s="1">
        <v>1.1399999999999999</v>
      </c>
    </row>
    <row r="62" spans="1:8" x14ac:dyDescent="0.3">
      <c r="A62" s="1">
        <v>61</v>
      </c>
      <c r="B62" s="1" t="s">
        <v>121</v>
      </c>
      <c r="C62" s="1" t="s">
        <v>122</v>
      </c>
      <c r="D62" s="1">
        <f t="shared" si="1"/>
        <v>1.1299999999999999</v>
      </c>
      <c r="H62" s="1">
        <v>1.1299999999999999</v>
      </c>
    </row>
    <row r="63" spans="1:8" x14ac:dyDescent="0.3">
      <c r="A63" s="1">
        <v>62</v>
      </c>
      <c r="B63" s="1" t="s">
        <v>123</v>
      </c>
      <c r="C63" s="1" t="s">
        <v>124</v>
      </c>
      <c r="D63" s="1">
        <f t="shared" si="1"/>
        <v>1.17</v>
      </c>
      <c r="H63" s="1">
        <v>1.17</v>
      </c>
    </row>
    <row r="64" spans="1:8" x14ac:dyDescent="0.3">
      <c r="A64" s="1">
        <v>63</v>
      </c>
      <c r="B64" s="1" t="s">
        <v>125</v>
      </c>
      <c r="C64" s="1" t="s">
        <v>126</v>
      </c>
      <c r="D64" s="1">
        <f t="shared" si="1"/>
        <v>1.2</v>
      </c>
      <c r="H64" s="1">
        <v>1.2</v>
      </c>
    </row>
    <row r="65" spans="1:8" x14ac:dyDescent="0.3">
      <c r="A65" s="1">
        <v>64</v>
      </c>
      <c r="B65" s="1" t="s">
        <v>127</v>
      </c>
      <c r="C65" s="1" t="s">
        <v>128</v>
      </c>
      <c r="D65" s="1">
        <f t="shared" si="1"/>
        <v>1.2</v>
      </c>
      <c r="H65" s="1">
        <v>1.2</v>
      </c>
    </row>
    <row r="66" spans="1:8" x14ac:dyDescent="0.3">
      <c r="A66" s="1">
        <v>65</v>
      </c>
      <c r="B66" s="1" t="s">
        <v>129</v>
      </c>
      <c r="C66" s="1" t="s">
        <v>130</v>
      </c>
      <c r="D66" s="1">
        <f t="shared" ref="D66:D97" si="2">IF(H66,H66,IF(G66,G66,IF(F66,F66,E66)))</f>
        <v>1.22</v>
      </c>
      <c r="H66" s="1">
        <v>1.22</v>
      </c>
    </row>
    <row r="67" spans="1:8" x14ac:dyDescent="0.3">
      <c r="A67" s="1">
        <v>66</v>
      </c>
      <c r="B67" s="1" t="s">
        <v>131</v>
      </c>
      <c r="C67" s="1" t="s">
        <v>132</v>
      </c>
      <c r="D67" s="1">
        <f t="shared" si="2"/>
        <v>1.23</v>
      </c>
      <c r="H67" s="1">
        <v>1.23</v>
      </c>
    </row>
    <row r="68" spans="1:8" x14ac:dyDescent="0.3">
      <c r="A68" s="1">
        <v>67</v>
      </c>
      <c r="B68" s="1" t="s">
        <v>133</v>
      </c>
      <c r="C68" s="1" t="s">
        <v>134</v>
      </c>
      <c r="D68" s="1">
        <f t="shared" si="2"/>
        <v>1.24</v>
      </c>
      <c r="H68" s="1">
        <v>1.24</v>
      </c>
    </row>
    <row r="69" spans="1:8" x14ac:dyDescent="0.3">
      <c r="A69" s="1">
        <v>68</v>
      </c>
      <c r="B69" s="1" t="s">
        <v>135</v>
      </c>
      <c r="C69" s="1" t="s">
        <v>136</v>
      </c>
      <c r="D69" s="1">
        <f t="shared" si="2"/>
        <v>1.24</v>
      </c>
      <c r="H69" s="1">
        <v>1.24</v>
      </c>
    </row>
    <row r="70" spans="1:8" x14ac:dyDescent="0.3">
      <c r="A70" s="1">
        <v>69</v>
      </c>
      <c r="B70" s="1" t="s">
        <v>137</v>
      </c>
      <c r="C70" s="1" t="s">
        <v>138</v>
      </c>
      <c r="D70" s="1">
        <f t="shared" si="2"/>
        <v>1.25</v>
      </c>
      <c r="H70" s="1">
        <v>1.25</v>
      </c>
    </row>
    <row r="71" spans="1:8" x14ac:dyDescent="0.3">
      <c r="A71" s="1">
        <v>70</v>
      </c>
      <c r="B71" s="1" t="s">
        <v>139</v>
      </c>
      <c r="C71" s="1" t="s">
        <v>140</v>
      </c>
      <c r="D71" s="1">
        <f t="shared" si="2"/>
        <v>1.1000000000000001</v>
      </c>
      <c r="H71" s="1">
        <v>1.1000000000000001</v>
      </c>
    </row>
    <row r="72" spans="1:8" x14ac:dyDescent="0.3">
      <c r="A72" s="1">
        <v>71</v>
      </c>
      <c r="B72" s="1" t="s">
        <v>141</v>
      </c>
      <c r="C72" s="1" t="s">
        <v>142</v>
      </c>
      <c r="D72" s="1">
        <f t="shared" si="2"/>
        <v>1.27</v>
      </c>
      <c r="G72" s="1">
        <v>1.27</v>
      </c>
    </row>
    <row r="73" spans="1:8" x14ac:dyDescent="0.3">
      <c r="A73" s="1">
        <v>72</v>
      </c>
      <c r="B73" s="1" t="s">
        <v>143</v>
      </c>
      <c r="C73" s="1" t="s">
        <v>144</v>
      </c>
      <c r="D73" s="1">
        <f t="shared" si="2"/>
        <v>1.3</v>
      </c>
      <c r="G73" s="1">
        <v>1.3</v>
      </c>
    </row>
    <row r="74" spans="1:8" x14ac:dyDescent="0.3">
      <c r="A74" s="1">
        <v>73</v>
      </c>
      <c r="B74" s="1" t="s">
        <v>145</v>
      </c>
      <c r="C74" s="1" t="s">
        <v>146</v>
      </c>
      <c r="D74" s="1">
        <f t="shared" si="2"/>
        <v>1.5</v>
      </c>
      <c r="G74" s="1">
        <v>1.5</v>
      </c>
    </row>
    <row r="75" spans="1:8" x14ac:dyDescent="0.3">
      <c r="A75" s="1">
        <v>74</v>
      </c>
      <c r="B75" s="1" t="s">
        <v>147</v>
      </c>
      <c r="C75" s="1" t="s">
        <v>148</v>
      </c>
      <c r="D75" s="1">
        <f t="shared" si="2"/>
        <v>2.36</v>
      </c>
      <c r="G75" s="1">
        <v>2.36</v>
      </c>
    </row>
    <row r="76" spans="1:8" x14ac:dyDescent="0.3">
      <c r="A76" s="1">
        <v>75</v>
      </c>
      <c r="B76" s="1" t="s">
        <v>149</v>
      </c>
      <c r="C76" s="1" t="s">
        <v>150</v>
      </c>
      <c r="D76" s="1">
        <f t="shared" si="2"/>
        <v>1.9</v>
      </c>
      <c r="G76" s="1">
        <v>1.9</v>
      </c>
    </row>
    <row r="77" spans="1:8" x14ac:dyDescent="0.3">
      <c r="A77" s="1">
        <v>76</v>
      </c>
      <c r="B77" s="1" t="s">
        <v>151</v>
      </c>
      <c r="C77" s="1" t="s">
        <v>152</v>
      </c>
      <c r="D77" s="1">
        <f t="shared" si="2"/>
        <v>2.2000000000000002</v>
      </c>
      <c r="G77" s="1">
        <v>2.2000000000000002</v>
      </c>
    </row>
    <row r="78" spans="1:8" x14ac:dyDescent="0.3">
      <c r="A78" s="1">
        <v>77</v>
      </c>
      <c r="B78" s="1" t="s">
        <v>153</v>
      </c>
      <c r="C78" s="1" t="s">
        <v>154</v>
      </c>
      <c r="D78" s="1">
        <f t="shared" si="2"/>
        <v>2.2000000000000002</v>
      </c>
      <c r="G78" s="1">
        <v>2.2000000000000002</v>
      </c>
    </row>
    <row r="79" spans="1:8" x14ac:dyDescent="0.3">
      <c r="A79" s="1">
        <v>78</v>
      </c>
      <c r="B79" s="1" t="s">
        <v>155</v>
      </c>
      <c r="C79" s="1" t="s">
        <v>156</v>
      </c>
      <c r="D79" s="1">
        <f t="shared" si="2"/>
        <v>2.2799999999999998</v>
      </c>
      <c r="G79" s="1">
        <v>2.2799999999999998</v>
      </c>
    </row>
    <row r="80" spans="1:8" x14ac:dyDescent="0.3">
      <c r="A80" s="1">
        <v>79</v>
      </c>
      <c r="B80" s="1" t="s">
        <v>157</v>
      </c>
      <c r="C80" s="1" t="s">
        <v>158</v>
      </c>
      <c r="D80" s="1">
        <f t="shared" si="2"/>
        <v>2.54</v>
      </c>
      <c r="G80" s="1">
        <v>2.54</v>
      </c>
    </row>
    <row r="81" spans="1:8" x14ac:dyDescent="0.3">
      <c r="A81" s="1">
        <v>80</v>
      </c>
      <c r="B81" s="1" t="s">
        <v>159</v>
      </c>
      <c r="C81" s="1" t="s">
        <v>160</v>
      </c>
      <c r="D81" s="1">
        <f t="shared" si="2"/>
        <v>2</v>
      </c>
      <c r="G81" s="1">
        <v>2</v>
      </c>
    </row>
    <row r="82" spans="1:8" x14ac:dyDescent="0.3">
      <c r="A82" s="1">
        <v>81</v>
      </c>
      <c r="B82" s="1" t="s">
        <v>161</v>
      </c>
      <c r="C82" s="1" t="s">
        <v>162</v>
      </c>
      <c r="D82" s="1">
        <f t="shared" si="2"/>
        <v>1.62</v>
      </c>
      <c r="F82" s="1">
        <v>1.62</v>
      </c>
    </row>
    <row r="83" spans="1:8" x14ac:dyDescent="0.3">
      <c r="A83" s="1">
        <v>82</v>
      </c>
      <c r="B83" s="1" t="s">
        <v>163</v>
      </c>
      <c r="C83" s="1" t="s">
        <v>164</v>
      </c>
      <c r="D83" s="1">
        <f t="shared" si="2"/>
        <v>2.33</v>
      </c>
      <c r="F83" s="1">
        <v>2.33</v>
      </c>
    </row>
    <row r="84" spans="1:8" x14ac:dyDescent="0.3">
      <c r="A84" s="1">
        <v>83</v>
      </c>
      <c r="B84" s="1" t="s">
        <v>165</v>
      </c>
      <c r="C84" s="1" t="s">
        <v>166</v>
      </c>
      <c r="D84" s="1">
        <f t="shared" si="2"/>
        <v>2.02</v>
      </c>
      <c r="F84" s="1">
        <v>2.02</v>
      </c>
    </row>
    <row r="85" spans="1:8" x14ac:dyDescent="0.3">
      <c r="A85" s="1">
        <v>84</v>
      </c>
      <c r="B85" s="1" t="s">
        <v>167</v>
      </c>
      <c r="C85" s="1" t="s">
        <v>168</v>
      </c>
      <c r="D85" s="1">
        <f t="shared" si="2"/>
        <v>2</v>
      </c>
      <c r="F85" s="1">
        <v>2</v>
      </c>
    </row>
    <row r="86" spans="1:8" x14ac:dyDescent="0.3">
      <c r="A86" s="1">
        <v>85</v>
      </c>
      <c r="B86" s="1" t="s">
        <v>169</v>
      </c>
      <c r="C86" s="1" t="s">
        <v>170</v>
      </c>
      <c r="D86" s="1">
        <f t="shared" si="2"/>
        <v>2.2000000000000002</v>
      </c>
      <c r="F86" s="1">
        <v>2.2000000000000002</v>
      </c>
    </row>
    <row r="87" spans="1:8" x14ac:dyDescent="0.3">
      <c r="A87" s="1">
        <v>86</v>
      </c>
      <c r="B87" s="1" t="s">
        <v>171</v>
      </c>
      <c r="C87" s="1" t="s">
        <v>172</v>
      </c>
      <c r="D87" s="1">
        <f t="shared" si="2"/>
        <v>0</v>
      </c>
      <c r="F87" s="1">
        <v>0</v>
      </c>
    </row>
    <row r="88" spans="1:8" x14ac:dyDescent="0.3">
      <c r="A88" s="1">
        <v>87</v>
      </c>
      <c r="B88" s="1" t="s">
        <v>173</v>
      </c>
      <c r="C88" s="1" t="s">
        <v>174</v>
      </c>
      <c r="D88" s="1">
        <f t="shared" si="2"/>
        <v>0.7</v>
      </c>
      <c r="E88" s="1">
        <v>0.7</v>
      </c>
    </row>
    <row r="89" spans="1:8" x14ac:dyDescent="0.3">
      <c r="A89" s="1">
        <v>88</v>
      </c>
      <c r="B89" s="1" t="s">
        <v>175</v>
      </c>
      <c r="C89" s="1" t="s">
        <v>176</v>
      </c>
      <c r="D89" s="1">
        <f t="shared" si="2"/>
        <v>0.89</v>
      </c>
      <c r="E89" s="1">
        <v>0.89</v>
      </c>
    </row>
    <row r="90" spans="1:8" x14ac:dyDescent="0.3">
      <c r="A90" s="1">
        <v>89</v>
      </c>
      <c r="B90" s="1" t="s">
        <v>177</v>
      </c>
      <c r="C90" s="1" t="s">
        <v>178</v>
      </c>
      <c r="D90" s="1">
        <f t="shared" si="2"/>
        <v>1.1000000000000001</v>
      </c>
      <c r="H90" s="1">
        <v>1.1000000000000001</v>
      </c>
    </row>
    <row r="91" spans="1:8" x14ac:dyDescent="0.3">
      <c r="A91" s="1">
        <v>90</v>
      </c>
      <c r="B91" s="1" t="s">
        <v>179</v>
      </c>
      <c r="C91" s="1" t="s">
        <v>180</v>
      </c>
      <c r="D91" s="1">
        <f t="shared" si="2"/>
        <v>1.3</v>
      </c>
      <c r="H91" s="1">
        <v>1.3</v>
      </c>
    </row>
    <row r="92" spans="1:8" x14ac:dyDescent="0.3">
      <c r="A92" s="1">
        <v>91</v>
      </c>
      <c r="B92" s="1" t="s">
        <v>181</v>
      </c>
      <c r="C92" s="1" t="s">
        <v>182</v>
      </c>
      <c r="D92" s="1">
        <f t="shared" si="2"/>
        <v>1.5</v>
      </c>
      <c r="H92" s="1">
        <v>1.5</v>
      </c>
    </row>
    <row r="93" spans="1:8" x14ac:dyDescent="0.3">
      <c r="A93" s="1">
        <v>92</v>
      </c>
      <c r="B93" s="1" t="s">
        <v>183</v>
      </c>
      <c r="C93" s="1" t="s">
        <v>184</v>
      </c>
      <c r="D93" s="1">
        <f t="shared" si="2"/>
        <v>1.38</v>
      </c>
      <c r="H93" s="1">
        <v>1.38</v>
      </c>
    </row>
    <row r="94" spans="1:8" x14ac:dyDescent="0.3">
      <c r="A94" s="1">
        <v>93</v>
      </c>
      <c r="B94" s="1" t="s">
        <v>185</v>
      </c>
      <c r="C94" s="1" t="s">
        <v>186</v>
      </c>
      <c r="D94" s="1">
        <f t="shared" si="2"/>
        <v>1.36</v>
      </c>
      <c r="H94" s="1">
        <v>1.36</v>
      </c>
    </row>
    <row r="95" spans="1:8" x14ac:dyDescent="0.3">
      <c r="A95" s="1">
        <v>94</v>
      </c>
      <c r="B95" s="1" t="s">
        <v>187</v>
      </c>
      <c r="C95" s="1" t="s">
        <v>188</v>
      </c>
      <c r="D95" s="1">
        <f t="shared" si="2"/>
        <v>1.28</v>
      </c>
      <c r="H95" s="1">
        <v>1.28</v>
      </c>
    </row>
    <row r="96" spans="1:8" x14ac:dyDescent="0.3">
      <c r="A96" s="1">
        <v>95</v>
      </c>
      <c r="B96" s="1" t="s">
        <v>189</v>
      </c>
      <c r="C96" s="1" t="s">
        <v>190</v>
      </c>
      <c r="D96" s="1">
        <f t="shared" si="2"/>
        <v>1.3</v>
      </c>
      <c r="H96" s="1">
        <v>1.3</v>
      </c>
    </row>
    <row r="97" spans="1:8" x14ac:dyDescent="0.3">
      <c r="A97" s="1">
        <v>96</v>
      </c>
      <c r="B97" s="1" t="s">
        <v>191</v>
      </c>
      <c r="C97" s="1" t="s">
        <v>192</v>
      </c>
      <c r="D97" s="1">
        <f t="shared" si="2"/>
        <v>1.3</v>
      </c>
      <c r="H97" s="1">
        <v>1.3</v>
      </c>
    </row>
    <row r="98" spans="1:8" x14ac:dyDescent="0.3">
      <c r="A98" s="1">
        <v>97</v>
      </c>
      <c r="B98" s="1" t="s">
        <v>193</v>
      </c>
      <c r="C98" s="1" t="s">
        <v>194</v>
      </c>
      <c r="D98" s="1">
        <f t="shared" ref="D98:D119" si="3">IF(H98,H98,IF(G98,G98,IF(F98,F98,E98)))</f>
        <v>1.3</v>
      </c>
      <c r="H98" s="1">
        <v>1.3</v>
      </c>
    </row>
    <row r="99" spans="1:8" x14ac:dyDescent="0.3">
      <c r="A99" s="1">
        <v>98</v>
      </c>
      <c r="B99" s="1" t="s">
        <v>195</v>
      </c>
      <c r="C99" s="1" t="s">
        <v>196</v>
      </c>
      <c r="D99" s="1">
        <f t="shared" si="3"/>
        <v>1.3</v>
      </c>
      <c r="H99" s="1">
        <v>1.3</v>
      </c>
    </row>
    <row r="100" spans="1:8" x14ac:dyDescent="0.3">
      <c r="A100" s="1">
        <v>99</v>
      </c>
      <c r="B100" s="1" t="s">
        <v>197</v>
      </c>
      <c r="C100" s="1" t="s">
        <v>198</v>
      </c>
      <c r="D100" s="1">
        <f t="shared" si="3"/>
        <v>1.3</v>
      </c>
      <c r="H100" s="1">
        <v>1.3</v>
      </c>
    </row>
    <row r="101" spans="1:8" x14ac:dyDescent="0.3">
      <c r="A101" s="1">
        <v>100</v>
      </c>
      <c r="B101" s="1" t="s">
        <v>199</v>
      </c>
      <c r="C101" s="1" t="s">
        <v>200</v>
      </c>
      <c r="D101" s="1">
        <f t="shared" si="3"/>
        <v>1.3</v>
      </c>
      <c r="H101" s="1">
        <v>1.3</v>
      </c>
    </row>
    <row r="102" spans="1:8" x14ac:dyDescent="0.3">
      <c r="A102" s="1">
        <v>101</v>
      </c>
      <c r="B102" s="1" t="s">
        <v>201</v>
      </c>
      <c r="C102" s="1" t="s">
        <v>202</v>
      </c>
      <c r="D102" s="1">
        <f t="shared" si="3"/>
        <v>1.3</v>
      </c>
      <c r="H102" s="1">
        <v>1.3</v>
      </c>
    </row>
    <row r="103" spans="1:8" x14ac:dyDescent="0.3">
      <c r="A103" s="1">
        <v>102</v>
      </c>
      <c r="B103" s="1" t="s">
        <v>203</v>
      </c>
      <c r="C103" s="1" t="s">
        <v>204</v>
      </c>
      <c r="D103" s="1">
        <f t="shared" si="3"/>
        <v>1.3</v>
      </c>
      <c r="H103" s="1">
        <v>1.3</v>
      </c>
    </row>
    <row r="104" spans="1:8" x14ac:dyDescent="0.3">
      <c r="A104" s="1">
        <v>103</v>
      </c>
      <c r="B104" s="1" t="s">
        <v>205</v>
      </c>
      <c r="C104" s="1" t="s">
        <v>206</v>
      </c>
      <c r="D104" s="1" t="str">
        <f t="shared" si="3"/>
        <v>no data</v>
      </c>
      <c r="E104" s="1" t="s">
        <v>4</v>
      </c>
      <c r="F104" s="1">
        <v>0</v>
      </c>
      <c r="G104" s="1">
        <v>0</v>
      </c>
      <c r="H104" s="1">
        <v>0</v>
      </c>
    </row>
    <row r="105" spans="1:8" x14ac:dyDescent="0.3">
      <c r="A105" s="1">
        <v>104</v>
      </c>
      <c r="B105" s="1" t="s">
        <v>207</v>
      </c>
      <c r="C105" s="1" t="s">
        <v>208</v>
      </c>
      <c r="D105" s="1" t="str">
        <f t="shared" si="3"/>
        <v>no data</v>
      </c>
      <c r="E105" s="1" t="s">
        <v>4</v>
      </c>
      <c r="F105" s="1">
        <v>0</v>
      </c>
      <c r="G105" s="1">
        <v>0</v>
      </c>
      <c r="H105" s="1">
        <v>0</v>
      </c>
    </row>
    <row r="106" spans="1:8" x14ac:dyDescent="0.3">
      <c r="A106" s="1">
        <v>105</v>
      </c>
      <c r="B106" s="1" t="s">
        <v>209</v>
      </c>
      <c r="C106" s="1" t="s">
        <v>210</v>
      </c>
      <c r="D106" s="1" t="str">
        <f t="shared" si="3"/>
        <v>no data</v>
      </c>
      <c r="E106" s="1" t="s">
        <v>4</v>
      </c>
      <c r="F106" s="1">
        <v>0</v>
      </c>
      <c r="G106" s="1">
        <v>0</v>
      </c>
      <c r="H106" s="1">
        <v>0</v>
      </c>
    </row>
    <row r="107" spans="1:8" x14ac:dyDescent="0.3">
      <c r="A107" s="1">
        <v>106</v>
      </c>
      <c r="B107" s="1" t="s">
        <v>211</v>
      </c>
      <c r="C107" s="1" t="s">
        <v>212</v>
      </c>
      <c r="D107" s="1" t="str">
        <f t="shared" si="3"/>
        <v>no data</v>
      </c>
      <c r="E107" s="1" t="s">
        <v>4</v>
      </c>
      <c r="F107" s="1">
        <v>0</v>
      </c>
      <c r="G107" s="1">
        <v>0</v>
      </c>
      <c r="H107" s="1">
        <v>0</v>
      </c>
    </row>
    <row r="108" spans="1:8" x14ac:dyDescent="0.3">
      <c r="A108" s="1">
        <v>107</v>
      </c>
      <c r="B108" s="1" t="s">
        <v>213</v>
      </c>
      <c r="C108" s="1" t="s">
        <v>214</v>
      </c>
      <c r="D108" s="1" t="str">
        <f t="shared" si="3"/>
        <v>no data</v>
      </c>
      <c r="E108" s="1" t="s">
        <v>4</v>
      </c>
      <c r="F108" s="1">
        <v>0</v>
      </c>
      <c r="G108" s="1">
        <v>0</v>
      </c>
      <c r="H108" s="1">
        <v>0</v>
      </c>
    </row>
    <row r="109" spans="1:8" x14ac:dyDescent="0.3">
      <c r="A109" s="1">
        <v>108</v>
      </c>
      <c r="B109" s="1" t="s">
        <v>215</v>
      </c>
      <c r="C109" s="1" t="s">
        <v>216</v>
      </c>
      <c r="D109" s="1" t="str">
        <f t="shared" si="3"/>
        <v>no data</v>
      </c>
      <c r="E109" s="1" t="s">
        <v>4</v>
      </c>
      <c r="F109" s="1">
        <v>0</v>
      </c>
      <c r="G109" s="1">
        <v>0</v>
      </c>
      <c r="H109" s="1">
        <v>0</v>
      </c>
    </row>
    <row r="110" spans="1:8" x14ac:dyDescent="0.3">
      <c r="A110" s="1">
        <v>109</v>
      </c>
      <c r="B110" s="1" t="s">
        <v>217</v>
      </c>
      <c r="C110" s="1" t="s">
        <v>218</v>
      </c>
      <c r="D110" s="1" t="str">
        <f t="shared" si="3"/>
        <v>no data</v>
      </c>
      <c r="E110" s="1" t="s">
        <v>4</v>
      </c>
      <c r="F110" s="1">
        <v>0</v>
      </c>
      <c r="G110" s="1">
        <v>0</v>
      </c>
      <c r="H110" s="1">
        <v>0</v>
      </c>
    </row>
    <row r="111" spans="1:8" x14ac:dyDescent="0.3">
      <c r="A111" s="1">
        <v>110</v>
      </c>
      <c r="B111" s="1" t="s">
        <v>219</v>
      </c>
      <c r="C111" s="1" t="s">
        <v>220</v>
      </c>
      <c r="D111" s="1" t="str">
        <f t="shared" si="3"/>
        <v>no data</v>
      </c>
      <c r="E111" s="1" t="s">
        <v>4</v>
      </c>
      <c r="F111" s="1">
        <v>0</v>
      </c>
      <c r="G111" s="1">
        <v>0</v>
      </c>
      <c r="H111" s="1">
        <v>0</v>
      </c>
    </row>
    <row r="112" spans="1:8" x14ac:dyDescent="0.3">
      <c r="A112" s="1">
        <v>111</v>
      </c>
      <c r="B112" s="1" t="s">
        <v>221</v>
      </c>
      <c r="C112" s="1" t="s">
        <v>222</v>
      </c>
      <c r="D112" s="1" t="str">
        <f t="shared" si="3"/>
        <v>no data</v>
      </c>
      <c r="E112" s="1" t="s">
        <v>4</v>
      </c>
      <c r="F112" s="1">
        <v>0</v>
      </c>
      <c r="G112" s="1">
        <v>0</v>
      </c>
      <c r="H112" s="1">
        <v>0</v>
      </c>
    </row>
    <row r="113" spans="1:8" x14ac:dyDescent="0.3">
      <c r="A113" s="1">
        <v>112</v>
      </c>
      <c r="B113" s="1" t="s">
        <v>223</v>
      </c>
      <c r="C113" s="1" t="s">
        <v>224</v>
      </c>
      <c r="D113" s="1" t="str">
        <f t="shared" si="3"/>
        <v>no data</v>
      </c>
      <c r="E113" s="1" t="s">
        <v>4</v>
      </c>
      <c r="F113" s="1">
        <v>0</v>
      </c>
      <c r="G113" s="1">
        <v>0</v>
      </c>
      <c r="H113" s="1">
        <v>0</v>
      </c>
    </row>
    <row r="114" spans="1:8" x14ac:dyDescent="0.3">
      <c r="A114" s="1">
        <v>113</v>
      </c>
      <c r="B114" s="1" t="s">
        <v>225</v>
      </c>
      <c r="C114" s="1" t="s">
        <v>226</v>
      </c>
      <c r="D114" s="1" t="str">
        <f t="shared" si="3"/>
        <v>no data</v>
      </c>
      <c r="E114" s="1" t="s">
        <v>4</v>
      </c>
      <c r="F114" s="1">
        <v>0</v>
      </c>
      <c r="G114" s="1">
        <v>0</v>
      </c>
      <c r="H114" s="1">
        <v>0</v>
      </c>
    </row>
    <row r="115" spans="1:8" x14ac:dyDescent="0.3">
      <c r="A115" s="1">
        <v>114</v>
      </c>
      <c r="B115" s="1" t="s">
        <v>227</v>
      </c>
      <c r="C115" s="1" t="s">
        <v>228</v>
      </c>
      <c r="D115" s="1" t="str">
        <f t="shared" si="3"/>
        <v>no data</v>
      </c>
      <c r="E115" s="1" t="s">
        <v>4</v>
      </c>
      <c r="F115" s="1">
        <v>0</v>
      </c>
      <c r="G115" s="1">
        <v>0</v>
      </c>
      <c r="H115" s="1">
        <v>0</v>
      </c>
    </row>
    <row r="116" spans="1:8" x14ac:dyDescent="0.3">
      <c r="A116" s="1">
        <v>115</v>
      </c>
      <c r="B116" s="1" t="s">
        <v>229</v>
      </c>
      <c r="C116" s="1" t="s">
        <v>230</v>
      </c>
      <c r="D116" s="1" t="str">
        <f t="shared" si="3"/>
        <v>no data</v>
      </c>
      <c r="E116" s="1" t="s">
        <v>4</v>
      </c>
      <c r="F116" s="1">
        <v>0</v>
      </c>
      <c r="G116" s="1">
        <v>0</v>
      </c>
      <c r="H116" s="1">
        <v>0</v>
      </c>
    </row>
    <row r="117" spans="1:8" x14ac:dyDescent="0.3">
      <c r="A117" s="1">
        <v>116</v>
      </c>
      <c r="B117" s="1" t="s">
        <v>231</v>
      </c>
      <c r="C117" s="1" t="s">
        <v>232</v>
      </c>
      <c r="D117" s="1" t="str">
        <f t="shared" si="3"/>
        <v>no data</v>
      </c>
      <c r="E117" s="1" t="s">
        <v>4</v>
      </c>
      <c r="F117" s="1">
        <v>0</v>
      </c>
      <c r="G117" s="1">
        <v>0</v>
      </c>
      <c r="H117" s="1">
        <v>0</v>
      </c>
    </row>
    <row r="118" spans="1:8" x14ac:dyDescent="0.3">
      <c r="A118" s="1">
        <v>117</v>
      </c>
      <c r="B118" s="1" t="s">
        <v>233</v>
      </c>
      <c r="C118" s="1" t="s">
        <v>234</v>
      </c>
      <c r="D118" s="1" t="str">
        <f t="shared" si="3"/>
        <v>no data</v>
      </c>
      <c r="E118" s="1" t="s">
        <v>4</v>
      </c>
      <c r="F118" s="1">
        <v>0</v>
      </c>
      <c r="G118" s="1">
        <v>0</v>
      </c>
      <c r="H118" s="1">
        <v>0</v>
      </c>
    </row>
    <row r="119" spans="1:8" x14ac:dyDescent="0.3">
      <c r="A119" s="1">
        <v>118</v>
      </c>
      <c r="B119" s="1" t="s">
        <v>235</v>
      </c>
      <c r="C119" s="1" t="s">
        <v>236</v>
      </c>
      <c r="D119" s="1" t="str">
        <f t="shared" si="3"/>
        <v>no data</v>
      </c>
      <c r="E119" s="1" t="s">
        <v>4</v>
      </c>
      <c r="F119" s="1">
        <v>0</v>
      </c>
      <c r="G119" s="1">
        <v>0</v>
      </c>
      <c r="H119" s="1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D89B-FA5D-4C35-88A6-62633D5BACEA}">
  <dimension ref="A1:S119"/>
  <sheetViews>
    <sheetView tabSelected="1" topLeftCell="A22" zoomScale="98" zoomScaleNormal="98" workbookViewId="0">
      <selection activeCell="K57" sqref="K57"/>
    </sheetView>
  </sheetViews>
  <sheetFormatPr defaultRowHeight="14.4" x14ac:dyDescent="0.3"/>
  <cols>
    <col min="1" max="2" width="8.88671875" style="1"/>
    <col min="4" max="4" width="8.88671875" style="1"/>
    <col min="6" max="8" width="9.88671875" bestFit="1" customWidth="1"/>
    <col min="19" max="19" width="8.88671875" style="1"/>
  </cols>
  <sheetData>
    <row r="1" spans="1:19" x14ac:dyDescent="0.3">
      <c r="A1" s="1" t="s">
        <v>242</v>
      </c>
      <c r="B1" s="1" t="s">
        <v>243</v>
      </c>
      <c r="C1" t="s">
        <v>246</v>
      </c>
      <c r="D1" s="1" t="s">
        <v>241</v>
      </c>
      <c r="E1" t="s">
        <v>245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247</v>
      </c>
      <c r="S1" s="1" t="s">
        <v>241</v>
      </c>
    </row>
    <row r="2" spans="1:19" x14ac:dyDescent="0.3">
      <c r="A2" s="1">
        <v>1</v>
      </c>
      <c r="B2" s="1" t="s">
        <v>0</v>
      </c>
      <c r="C2" t="s">
        <v>1</v>
      </c>
      <c r="D2" s="1" cm="1">
        <f t="array" ref="D2:D119">(-1)*S2:S119</f>
        <v>-72.78</v>
      </c>
      <c r="E2" t="s">
        <v>237</v>
      </c>
      <c r="F2">
        <f t="shared" ref="F2:F33" si="0">IF($E2=F$1,IF($D2="","",$D2),NA())</f>
        <v>-72.78</v>
      </c>
      <c r="G2" t="e">
        <f t="shared" ref="G2:G33" si="1">IF($E2=G$1,IF($D2="","",$D2),NA())</f>
        <v>#N/A</v>
      </c>
      <c r="H2" t="e">
        <f t="shared" ref="H2:H33" si="2">IF($E2=H$1,IF($D2="","",$D2),NA())</f>
        <v>#N/A</v>
      </c>
      <c r="I2" t="str">
        <f t="shared" ref="I2:I21" si="3">IF($E2=I$1,IF($D2="","",$D2),"")</f>
        <v/>
      </c>
      <c r="J2" t="s">
        <v>0</v>
      </c>
      <c r="S2" s="1">
        <v>72.78</v>
      </c>
    </row>
    <row r="3" spans="1:19" x14ac:dyDescent="0.3">
      <c r="A3" s="1">
        <v>2</v>
      </c>
      <c r="B3" s="1" t="s">
        <v>2</v>
      </c>
      <c r="C3" t="s">
        <v>3</v>
      </c>
      <c r="D3" s="1">
        <v>48</v>
      </c>
      <c r="E3" t="s">
        <v>237</v>
      </c>
      <c r="F3">
        <f t="shared" si="0"/>
        <v>48</v>
      </c>
      <c r="G3" t="e">
        <f t="shared" si="1"/>
        <v>#N/A</v>
      </c>
      <c r="H3" t="e">
        <f t="shared" si="2"/>
        <v>#N/A</v>
      </c>
      <c r="I3" t="str">
        <f t="shared" si="3"/>
        <v/>
      </c>
      <c r="J3" t="s">
        <v>2</v>
      </c>
      <c r="S3" s="1">
        <v>-48</v>
      </c>
    </row>
    <row r="4" spans="1:19" x14ac:dyDescent="0.3">
      <c r="A4" s="1">
        <v>3</v>
      </c>
      <c r="B4" s="1" t="s">
        <v>5</v>
      </c>
      <c r="C4" t="s">
        <v>6</v>
      </c>
      <c r="D4" s="1">
        <v>-59.63</v>
      </c>
      <c r="E4" t="s">
        <v>237</v>
      </c>
      <c r="F4">
        <f t="shared" si="0"/>
        <v>-59.63</v>
      </c>
      <c r="G4" t="e">
        <f t="shared" si="1"/>
        <v>#N/A</v>
      </c>
      <c r="H4" t="e">
        <f t="shared" si="2"/>
        <v>#N/A</v>
      </c>
      <c r="I4" t="str">
        <f t="shared" si="3"/>
        <v/>
      </c>
      <c r="J4" t="s">
        <v>5</v>
      </c>
      <c r="S4" s="1">
        <v>59.63</v>
      </c>
    </row>
    <row r="5" spans="1:19" x14ac:dyDescent="0.3">
      <c r="A5" s="1">
        <v>4</v>
      </c>
      <c r="B5" s="1" t="s">
        <v>7</v>
      </c>
      <c r="C5" t="s">
        <v>8</v>
      </c>
      <c r="D5" s="1">
        <v>48</v>
      </c>
      <c r="E5" t="s">
        <v>237</v>
      </c>
      <c r="F5">
        <f t="shared" si="0"/>
        <v>48</v>
      </c>
      <c r="G5" t="e">
        <f t="shared" si="1"/>
        <v>#N/A</v>
      </c>
      <c r="H5" t="e">
        <f t="shared" si="2"/>
        <v>#N/A</v>
      </c>
      <c r="I5" t="str">
        <f t="shared" si="3"/>
        <v/>
      </c>
      <c r="J5" t="s">
        <v>7</v>
      </c>
      <c r="S5" s="1">
        <v>-48</v>
      </c>
    </row>
    <row r="6" spans="1:19" x14ac:dyDescent="0.3">
      <c r="A6" s="1">
        <v>5</v>
      </c>
      <c r="B6" s="1" t="s">
        <v>9</v>
      </c>
      <c r="C6" t="s">
        <v>10</v>
      </c>
      <c r="D6" s="1">
        <v>-26.99</v>
      </c>
      <c r="E6" t="s">
        <v>238</v>
      </c>
      <c r="F6" t="e">
        <f t="shared" si="0"/>
        <v>#N/A</v>
      </c>
      <c r="G6">
        <f t="shared" si="1"/>
        <v>-26.99</v>
      </c>
      <c r="H6" t="e">
        <f t="shared" si="2"/>
        <v>#N/A</v>
      </c>
      <c r="I6" t="str">
        <f t="shared" si="3"/>
        <v/>
      </c>
      <c r="J6" t="s">
        <v>9</v>
      </c>
      <c r="S6" s="1">
        <v>26.99</v>
      </c>
    </row>
    <row r="7" spans="1:19" x14ac:dyDescent="0.3">
      <c r="A7" s="1">
        <v>6</v>
      </c>
      <c r="B7" s="1" t="s">
        <v>11</v>
      </c>
      <c r="C7" t="s">
        <v>12</v>
      </c>
      <c r="D7" s="1">
        <v>-121.77</v>
      </c>
      <c r="E7" t="s">
        <v>238</v>
      </c>
      <c r="F7" t="e">
        <f t="shared" si="0"/>
        <v>#N/A</v>
      </c>
      <c r="G7">
        <f t="shared" si="1"/>
        <v>-121.77</v>
      </c>
      <c r="H7" t="e">
        <f t="shared" si="2"/>
        <v>#N/A</v>
      </c>
      <c r="I7" t="str">
        <f t="shared" si="3"/>
        <v/>
      </c>
      <c r="J7" t="s">
        <v>11</v>
      </c>
      <c r="S7" s="1">
        <v>121.77</v>
      </c>
    </row>
    <row r="8" spans="1:19" x14ac:dyDescent="0.3">
      <c r="A8" s="1">
        <v>7</v>
      </c>
      <c r="B8" s="1" t="s">
        <v>13</v>
      </c>
      <c r="C8" t="s">
        <v>14</v>
      </c>
      <c r="D8" s="1">
        <v>6.8</v>
      </c>
      <c r="E8" t="s">
        <v>238</v>
      </c>
      <c r="F8" t="e">
        <f t="shared" si="0"/>
        <v>#N/A</v>
      </c>
      <c r="G8">
        <f t="shared" si="1"/>
        <v>6.8</v>
      </c>
      <c r="H8" t="e">
        <f t="shared" si="2"/>
        <v>#N/A</v>
      </c>
      <c r="I8" t="str">
        <f t="shared" si="3"/>
        <v/>
      </c>
      <c r="J8" t="s">
        <v>13</v>
      </c>
      <c r="S8" s="1">
        <v>-6.8</v>
      </c>
    </row>
    <row r="9" spans="1:19" x14ac:dyDescent="0.3">
      <c r="A9" s="1">
        <v>8</v>
      </c>
      <c r="B9" s="1" t="s">
        <v>15</v>
      </c>
      <c r="C9" t="s">
        <v>16</v>
      </c>
      <c r="D9" s="1">
        <v>-140.97999999999999</v>
      </c>
      <c r="E9" t="s">
        <v>238</v>
      </c>
      <c r="F9" t="e">
        <f t="shared" si="0"/>
        <v>#N/A</v>
      </c>
      <c r="G9">
        <f t="shared" si="1"/>
        <v>-140.97999999999999</v>
      </c>
      <c r="H9" t="e">
        <f t="shared" si="2"/>
        <v>#N/A</v>
      </c>
      <c r="I9" t="str">
        <f t="shared" si="3"/>
        <v/>
      </c>
      <c r="S9" s="1">
        <v>140.97999999999999</v>
      </c>
    </row>
    <row r="10" spans="1:19" x14ac:dyDescent="0.3">
      <c r="A10" s="1">
        <v>9</v>
      </c>
      <c r="B10" s="1" t="s">
        <v>17</v>
      </c>
      <c r="C10" t="s">
        <v>18</v>
      </c>
      <c r="D10" s="1">
        <v>-328.16</v>
      </c>
      <c r="E10" t="s">
        <v>238</v>
      </c>
      <c r="F10" t="e">
        <f t="shared" si="0"/>
        <v>#N/A</v>
      </c>
      <c r="G10">
        <f t="shared" si="1"/>
        <v>-328.16</v>
      </c>
      <c r="H10" t="e">
        <f t="shared" si="2"/>
        <v>#N/A</v>
      </c>
      <c r="I10" t="str">
        <f t="shared" si="3"/>
        <v/>
      </c>
      <c r="J10" t="s">
        <v>17</v>
      </c>
      <c r="S10" s="1">
        <v>328.16</v>
      </c>
    </row>
    <row r="11" spans="1:19" x14ac:dyDescent="0.3">
      <c r="A11" s="1">
        <v>10</v>
      </c>
      <c r="B11" s="1" t="s">
        <v>19</v>
      </c>
      <c r="C11" t="s">
        <v>20</v>
      </c>
      <c r="D11" s="1">
        <v>116</v>
      </c>
      <c r="E11" t="s">
        <v>238</v>
      </c>
      <c r="F11" t="e">
        <f t="shared" si="0"/>
        <v>#N/A</v>
      </c>
      <c r="G11">
        <f t="shared" si="1"/>
        <v>116</v>
      </c>
      <c r="H11" t="e">
        <f t="shared" si="2"/>
        <v>#N/A</v>
      </c>
      <c r="I11" t="str">
        <f t="shared" si="3"/>
        <v/>
      </c>
      <c r="J11" t="s">
        <v>19</v>
      </c>
      <c r="S11" s="1">
        <v>-116</v>
      </c>
    </row>
    <row r="12" spans="1:19" x14ac:dyDescent="0.3">
      <c r="A12" s="1">
        <v>11</v>
      </c>
      <c r="B12" s="1" t="s">
        <v>21</v>
      </c>
      <c r="C12" t="s">
        <v>22</v>
      </c>
      <c r="D12" s="1">
        <v>-52.87</v>
      </c>
      <c r="E12" t="s">
        <v>237</v>
      </c>
      <c r="F12">
        <f t="shared" si="0"/>
        <v>-52.87</v>
      </c>
      <c r="G12" t="e">
        <f t="shared" si="1"/>
        <v>#N/A</v>
      </c>
      <c r="H12" t="e">
        <f t="shared" si="2"/>
        <v>#N/A</v>
      </c>
      <c r="I12" t="str">
        <f t="shared" si="3"/>
        <v/>
      </c>
      <c r="J12" t="s">
        <v>21</v>
      </c>
      <c r="S12" s="1">
        <v>52.87</v>
      </c>
    </row>
    <row r="13" spans="1:19" x14ac:dyDescent="0.3">
      <c r="A13" s="1">
        <v>12</v>
      </c>
      <c r="B13" s="1" t="s">
        <v>23</v>
      </c>
      <c r="C13" t="s">
        <v>24</v>
      </c>
      <c r="D13" s="1">
        <v>40</v>
      </c>
      <c r="E13" t="s">
        <v>237</v>
      </c>
      <c r="F13">
        <f t="shared" si="0"/>
        <v>40</v>
      </c>
      <c r="G13" t="e">
        <f t="shared" si="1"/>
        <v>#N/A</v>
      </c>
      <c r="H13" t="e">
        <f t="shared" si="2"/>
        <v>#N/A</v>
      </c>
      <c r="I13" t="str">
        <f t="shared" si="3"/>
        <v/>
      </c>
      <c r="J13" t="s">
        <v>23</v>
      </c>
      <c r="S13" s="1">
        <v>-40</v>
      </c>
    </row>
    <row r="14" spans="1:19" x14ac:dyDescent="0.3">
      <c r="A14" s="1">
        <v>13</v>
      </c>
      <c r="B14" s="1" t="s">
        <v>25</v>
      </c>
      <c r="C14" t="s">
        <v>26</v>
      </c>
      <c r="D14" s="1">
        <v>-41.76</v>
      </c>
      <c r="E14" t="s">
        <v>238</v>
      </c>
      <c r="F14" t="e">
        <f t="shared" si="0"/>
        <v>#N/A</v>
      </c>
      <c r="G14">
        <f t="shared" si="1"/>
        <v>-41.76</v>
      </c>
      <c r="H14" t="e">
        <f t="shared" si="2"/>
        <v>#N/A</v>
      </c>
      <c r="I14" t="str">
        <f t="shared" si="3"/>
        <v/>
      </c>
      <c r="J14" t="s">
        <v>25</v>
      </c>
      <c r="S14" s="1">
        <v>41.76</v>
      </c>
    </row>
    <row r="15" spans="1:19" x14ac:dyDescent="0.3">
      <c r="A15" s="1">
        <v>14</v>
      </c>
      <c r="B15" s="1" t="s">
        <v>27</v>
      </c>
      <c r="C15" t="s">
        <v>28</v>
      </c>
      <c r="D15" s="1">
        <v>-134.06</v>
      </c>
      <c r="E15" t="s">
        <v>238</v>
      </c>
      <c r="F15" t="e">
        <f t="shared" si="0"/>
        <v>#N/A</v>
      </c>
      <c r="G15">
        <f t="shared" si="1"/>
        <v>-134.06</v>
      </c>
      <c r="H15" t="e">
        <f t="shared" si="2"/>
        <v>#N/A</v>
      </c>
      <c r="I15" t="str">
        <f t="shared" si="3"/>
        <v/>
      </c>
      <c r="S15" s="1">
        <v>134.06</v>
      </c>
    </row>
    <row r="16" spans="1:19" x14ac:dyDescent="0.3">
      <c r="A16" s="1">
        <v>15</v>
      </c>
      <c r="B16" s="1" t="s">
        <v>29</v>
      </c>
      <c r="C16" t="s">
        <v>30</v>
      </c>
      <c r="D16" s="1">
        <v>-72.040000000000006</v>
      </c>
      <c r="E16" t="s">
        <v>238</v>
      </c>
      <c r="F16" t="e">
        <f t="shared" si="0"/>
        <v>#N/A</v>
      </c>
      <c r="G16">
        <f t="shared" si="1"/>
        <v>-72.040000000000006</v>
      </c>
      <c r="H16" t="e">
        <f t="shared" si="2"/>
        <v>#N/A</v>
      </c>
      <c r="I16" t="str">
        <f t="shared" si="3"/>
        <v/>
      </c>
      <c r="S16" s="1">
        <v>72.040000000000006</v>
      </c>
    </row>
    <row r="17" spans="1:19" x14ac:dyDescent="0.3">
      <c r="A17" s="1">
        <v>16</v>
      </c>
      <c r="B17" s="1" t="s">
        <v>31</v>
      </c>
      <c r="C17" t="s">
        <v>32</v>
      </c>
      <c r="D17" s="1">
        <v>-200.4</v>
      </c>
      <c r="E17" t="s">
        <v>238</v>
      </c>
      <c r="F17" t="e">
        <f t="shared" si="0"/>
        <v>#N/A</v>
      </c>
      <c r="G17">
        <f t="shared" si="1"/>
        <v>-200.4</v>
      </c>
      <c r="H17" t="e">
        <f t="shared" si="2"/>
        <v>#N/A</v>
      </c>
      <c r="I17" t="str">
        <f t="shared" si="3"/>
        <v/>
      </c>
      <c r="S17" s="1">
        <v>200.4</v>
      </c>
    </row>
    <row r="18" spans="1:19" x14ac:dyDescent="0.3">
      <c r="A18" s="1">
        <v>17</v>
      </c>
      <c r="B18" s="1" t="s">
        <v>33</v>
      </c>
      <c r="C18" t="s">
        <v>34</v>
      </c>
      <c r="D18" s="1">
        <v>-348.57</v>
      </c>
      <c r="E18" t="s">
        <v>238</v>
      </c>
      <c r="F18" t="e">
        <f t="shared" si="0"/>
        <v>#N/A</v>
      </c>
      <c r="G18">
        <f t="shared" si="1"/>
        <v>-348.57</v>
      </c>
      <c r="H18" t="e">
        <f t="shared" si="2"/>
        <v>#N/A</v>
      </c>
      <c r="I18" t="str">
        <f t="shared" si="3"/>
        <v/>
      </c>
      <c r="J18" t="s">
        <v>33</v>
      </c>
      <c r="S18" s="1">
        <v>348.57</v>
      </c>
    </row>
    <row r="19" spans="1:19" x14ac:dyDescent="0.3">
      <c r="A19" s="1">
        <v>18</v>
      </c>
      <c r="B19" s="1" t="s">
        <v>35</v>
      </c>
      <c r="C19" t="s">
        <v>36</v>
      </c>
      <c r="D19" s="1">
        <v>96</v>
      </c>
      <c r="E19" t="s">
        <v>238</v>
      </c>
      <c r="F19" t="e">
        <f t="shared" si="0"/>
        <v>#N/A</v>
      </c>
      <c r="G19">
        <f t="shared" si="1"/>
        <v>96</v>
      </c>
      <c r="H19" t="e">
        <f t="shared" si="2"/>
        <v>#N/A</v>
      </c>
      <c r="I19" t="str">
        <f t="shared" si="3"/>
        <v/>
      </c>
      <c r="J19" t="s">
        <v>35</v>
      </c>
      <c r="S19" s="1">
        <v>-96</v>
      </c>
    </row>
    <row r="20" spans="1:19" x14ac:dyDescent="0.3">
      <c r="A20" s="1">
        <v>19</v>
      </c>
      <c r="B20" s="1" t="s">
        <v>37</v>
      </c>
      <c r="C20" t="s">
        <v>38</v>
      </c>
      <c r="D20" s="1">
        <v>-48.38</v>
      </c>
      <c r="E20" t="s">
        <v>237</v>
      </c>
      <c r="F20">
        <f t="shared" si="0"/>
        <v>-48.38</v>
      </c>
      <c r="G20" t="e">
        <f t="shared" si="1"/>
        <v>#N/A</v>
      </c>
      <c r="H20" t="e">
        <f t="shared" si="2"/>
        <v>#N/A</v>
      </c>
      <c r="I20" t="str">
        <f t="shared" si="3"/>
        <v/>
      </c>
      <c r="J20" t="s">
        <v>37</v>
      </c>
      <c r="S20" s="1">
        <v>48.38</v>
      </c>
    </row>
    <row r="21" spans="1:19" x14ac:dyDescent="0.3">
      <c r="A21" s="1">
        <v>20</v>
      </c>
      <c r="B21" s="1" t="s">
        <v>39</v>
      </c>
      <c r="C21" t="s">
        <v>40</v>
      </c>
      <c r="D21" s="1">
        <v>-2.37</v>
      </c>
      <c r="E21" t="s">
        <v>237</v>
      </c>
      <c r="F21">
        <f t="shared" si="0"/>
        <v>-2.37</v>
      </c>
      <c r="G21" t="e">
        <f t="shared" si="1"/>
        <v>#N/A</v>
      </c>
      <c r="H21" t="e">
        <f t="shared" si="2"/>
        <v>#N/A</v>
      </c>
      <c r="I21" t="str">
        <f t="shared" si="3"/>
        <v/>
      </c>
      <c r="J21" t="s">
        <v>39</v>
      </c>
      <c r="S21" s="1">
        <v>2.37</v>
      </c>
    </row>
    <row r="22" spans="1:19" x14ac:dyDescent="0.3">
      <c r="A22" s="1">
        <v>21</v>
      </c>
      <c r="B22" s="1" t="s">
        <v>41</v>
      </c>
      <c r="C22" t="s">
        <v>42</v>
      </c>
      <c r="D22" s="1">
        <v>-18</v>
      </c>
      <c r="E22" t="s">
        <v>239</v>
      </c>
      <c r="F22" t="e">
        <f t="shared" si="0"/>
        <v>#N/A</v>
      </c>
      <c r="G22" t="e">
        <f t="shared" si="1"/>
        <v>#N/A</v>
      </c>
      <c r="H22">
        <f t="shared" si="2"/>
        <v>-18</v>
      </c>
      <c r="I22" t="str">
        <f t="shared" ref="I22:I41" si="4">IF($E22=I$1,IF($D22="","",$D22),"")</f>
        <v/>
      </c>
      <c r="S22" s="1">
        <v>18</v>
      </c>
    </row>
    <row r="23" spans="1:19" x14ac:dyDescent="0.3">
      <c r="A23" s="1">
        <v>22</v>
      </c>
      <c r="B23" s="1" t="s">
        <v>43</v>
      </c>
      <c r="C23" t="s">
        <v>44</v>
      </c>
      <c r="D23" s="1">
        <v>-7.28</v>
      </c>
      <c r="E23" t="s">
        <v>239</v>
      </c>
      <c r="F23" t="e">
        <f t="shared" si="0"/>
        <v>#N/A</v>
      </c>
      <c r="G23" t="e">
        <f t="shared" si="1"/>
        <v>#N/A</v>
      </c>
      <c r="H23">
        <f t="shared" si="2"/>
        <v>-7.28</v>
      </c>
      <c r="I23" t="str">
        <f t="shared" si="4"/>
        <v/>
      </c>
      <c r="S23" s="1">
        <v>7.28</v>
      </c>
    </row>
    <row r="24" spans="1:19" x14ac:dyDescent="0.3">
      <c r="A24" s="1">
        <v>23</v>
      </c>
      <c r="B24" s="1" t="s">
        <v>45</v>
      </c>
      <c r="C24" t="s">
        <v>46</v>
      </c>
      <c r="D24" s="1">
        <v>-50.91</v>
      </c>
      <c r="E24" t="s">
        <v>239</v>
      </c>
      <c r="F24" t="e">
        <f t="shared" si="0"/>
        <v>#N/A</v>
      </c>
      <c r="G24" t="e">
        <f t="shared" si="1"/>
        <v>#N/A</v>
      </c>
      <c r="H24">
        <f t="shared" si="2"/>
        <v>-50.91</v>
      </c>
      <c r="I24" t="str">
        <f t="shared" si="4"/>
        <v/>
      </c>
      <c r="S24" s="1">
        <v>50.91</v>
      </c>
    </row>
    <row r="25" spans="1:19" x14ac:dyDescent="0.3">
      <c r="A25" s="1">
        <v>24</v>
      </c>
      <c r="B25" s="1" t="s">
        <v>47</v>
      </c>
      <c r="C25" t="s">
        <v>48</v>
      </c>
      <c r="D25" s="1">
        <v>-65.209999999999994</v>
      </c>
      <c r="E25" t="s">
        <v>239</v>
      </c>
      <c r="F25" t="e">
        <f t="shared" si="0"/>
        <v>#N/A</v>
      </c>
      <c r="G25" t="e">
        <f t="shared" si="1"/>
        <v>#N/A</v>
      </c>
      <c r="H25">
        <f t="shared" si="2"/>
        <v>-65.209999999999994</v>
      </c>
      <c r="I25" t="str">
        <f t="shared" si="4"/>
        <v/>
      </c>
      <c r="J25" t="s">
        <v>47</v>
      </c>
      <c r="S25" s="1">
        <v>65.209999999999994</v>
      </c>
    </row>
    <row r="26" spans="1:19" x14ac:dyDescent="0.3">
      <c r="A26" s="1">
        <v>25</v>
      </c>
      <c r="B26" s="1" t="s">
        <v>49</v>
      </c>
      <c r="C26" t="s">
        <v>50</v>
      </c>
      <c r="D26" s="1">
        <v>50</v>
      </c>
      <c r="E26" t="s">
        <v>239</v>
      </c>
      <c r="F26" t="e">
        <f t="shared" si="0"/>
        <v>#N/A</v>
      </c>
      <c r="G26" t="e">
        <f t="shared" si="1"/>
        <v>#N/A</v>
      </c>
      <c r="H26">
        <f t="shared" si="2"/>
        <v>50</v>
      </c>
      <c r="I26" t="str">
        <f t="shared" si="4"/>
        <v/>
      </c>
      <c r="J26" t="s">
        <v>49</v>
      </c>
      <c r="S26" s="1">
        <v>-50</v>
      </c>
    </row>
    <row r="27" spans="1:19" x14ac:dyDescent="0.3">
      <c r="A27" s="1">
        <v>26</v>
      </c>
      <c r="B27" s="1" t="s">
        <v>51</v>
      </c>
      <c r="C27" t="s">
        <v>52</v>
      </c>
      <c r="D27" s="1">
        <v>-14.78</v>
      </c>
      <c r="E27" t="s">
        <v>239</v>
      </c>
      <c r="F27" t="e">
        <f t="shared" si="0"/>
        <v>#N/A</v>
      </c>
      <c r="G27" t="e">
        <f t="shared" si="1"/>
        <v>#N/A</v>
      </c>
      <c r="H27">
        <f t="shared" si="2"/>
        <v>-14.78</v>
      </c>
      <c r="I27" t="str">
        <f t="shared" si="4"/>
        <v/>
      </c>
      <c r="S27" s="1">
        <v>14.78</v>
      </c>
    </row>
    <row r="28" spans="1:19" x14ac:dyDescent="0.3">
      <c r="A28" s="1">
        <v>27</v>
      </c>
      <c r="B28" s="1" t="s">
        <v>53</v>
      </c>
      <c r="C28" t="s">
        <v>54</v>
      </c>
      <c r="D28" s="1">
        <v>-63.89</v>
      </c>
      <c r="E28" t="s">
        <v>239</v>
      </c>
      <c r="F28" t="e">
        <f t="shared" si="0"/>
        <v>#N/A</v>
      </c>
      <c r="G28" t="e">
        <f t="shared" si="1"/>
        <v>#N/A</v>
      </c>
      <c r="H28">
        <f t="shared" si="2"/>
        <v>-63.89</v>
      </c>
      <c r="I28" t="str">
        <f t="shared" si="4"/>
        <v/>
      </c>
      <c r="S28" s="1">
        <v>63.89</v>
      </c>
    </row>
    <row r="29" spans="1:19" x14ac:dyDescent="0.3">
      <c r="A29" s="1">
        <v>28</v>
      </c>
      <c r="B29" s="1" t="s">
        <v>55</v>
      </c>
      <c r="C29" t="s">
        <v>56</v>
      </c>
      <c r="D29" s="1">
        <v>-111.65</v>
      </c>
      <c r="E29" t="s">
        <v>239</v>
      </c>
      <c r="F29" t="e">
        <f t="shared" si="0"/>
        <v>#N/A</v>
      </c>
      <c r="G29" t="e">
        <f t="shared" si="1"/>
        <v>#N/A</v>
      </c>
      <c r="H29">
        <f t="shared" si="2"/>
        <v>-111.65</v>
      </c>
      <c r="I29" t="str">
        <f t="shared" si="4"/>
        <v/>
      </c>
      <c r="S29" s="1">
        <v>111.65</v>
      </c>
    </row>
    <row r="30" spans="1:19" x14ac:dyDescent="0.3">
      <c r="A30" s="1">
        <v>29</v>
      </c>
      <c r="B30" s="1" t="s">
        <v>57</v>
      </c>
      <c r="C30" t="s">
        <v>58</v>
      </c>
      <c r="D30" s="1">
        <v>-119.23</v>
      </c>
      <c r="E30" t="s">
        <v>239</v>
      </c>
      <c r="F30" t="e">
        <f t="shared" si="0"/>
        <v>#N/A</v>
      </c>
      <c r="G30" t="e">
        <f t="shared" si="1"/>
        <v>#N/A</v>
      </c>
      <c r="H30">
        <f t="shared" si="2"/>
        <v>-119.23</v>
      </c>
      <c r="I30" t="str">
        <f t="shared" si="4"/>
        <v/>
      </c>
      <c r="J30" t="s">
        <v>57</v>
      </c>
      <c r="S30" s="1">
        <v>119.23</v>
      </c>
    </row>
    <row r="31" spans="1:19" x14ac:dyDescent="0.3">
      <c r="A31" s="1">
        <v>30</v>
      </c>
      <c r="B31" s="1" t="s">
        <v>59</v>
      </c>
      <c r="C31" t="s">
        <v>60</v>
      </c>
      <c r="D31" s="1">
        <v>58</v>
      </c>
      <c r="E31" t="s">
        <v>239</v>
      </c>
      <c r="F31" t="e">
        <f t="shared" si="0"/>
        <v>#N/A</v>
      </c>
      <c r="G31" t="e">
        <f t="shared" si="1"/>
        <v>#N/A</v>
      </c>
      <c r="H31">
        <f t="shared" si="2"/>
        <v>58</v>
      </c>
      <c r="I31" t="str">
        <f t="shared" si="4"/>
        <v/>
      </c>
      <c r="J31" t="s">
        <v>59</v>
      </c>
      <c r="S31" s="1">
        <v>-58</v>
      </c>
    </row>
    <row r="32" spans="1:19" x14ac:dyDescent="0.3">
      <c r="A32" s="1">
        <v>31</v>
      </c>
      <c r="B32" s="1" t="s">
        <v>61</v>
      </c>
      <c r="C32" t="s">
        <v>62</v>
      </c>
      <c r="D32" s="1">
        <v>-29.06</v>
      </c>
      <c r="E32" t="s">
        <v>238</v>
      </c>
      <c r="F32" t="e">
        <f t="shared" si="0"/>
        <v>#N/A</v>
      </c>
      <c r="G32">
        <f t="shared" si="1"/>
        <v>-29.06</v>
      </c>
      <c r="H32" t="e">
        <f t="shared" si="2"/>
        <v>#N/A</v>
      </c>
      <c r="I32" t="str">
        <f t="shared" si="4"/>
        <v/>
      </c>
      <c r="S32" s="1">
        <v>29.06</v>
      </c>
    </row>
    <row r="33" spans="1:19" x14ac:dyDescent="0.3">
      <c r="A33" s="1">
        <v>32</v>
      </c>
      <c r="B33" s="1" t="s">
        <v>63</v>
      </c>
      <c r="C33" t="s">
        <v>64</v>
      </c>
      <c r="D33" s="1">
        <v>-118.93</v>
      </c>
      <c r="E33" t="s">
        <v>238</v>
      </c>
      <c r="F33" t="e">
        <f t="shared" si="0"/>
        <v>#N/A</v>
      </c>
      <c r="G33">
        <f t="shared" si="1"/>
        <v>-118.93</v>
      </c>
      <c r="H33" t="e">
        <f t="shared" si="2"/>
        <v>#N/A</v>
      </c>
      <c r="I33" t="str">
        <f t="shared" si="4"/>
        <v/>
      </c>
      <c r="S33" s="1">
        <v>118.93</v>
      </c>
    </row>
    <row r="34" spans="1:19" x14ac:dyDescent="0.3">
      <c r="A34" s="1">
        <v>33</v>
      </c>
      <c r="B34" s="1" t="s">
        <v>65</v>
      </c>
      <c r="C34" t="s">
        <v>66</v>
      </c>
      <c r="D34" s="1">
        <v>-77.650000000000006</v>
      </c>
      <c r="E34" t="s">
        <v>238</v>
      </c>
      <c r="F34" t="e">
        <f t="shared" ref="F34:F65" si="5">IF($E34=F$1,IF($D34="","",$D34),NA())</f>
        <v>#N/A</v>
      </c>
      <c r="G34">
        <f t="shared" ref="G34:G65" si="6">IF($E34=G$1,IF($D34="","",$D34),NA())</f>
        <v>-77.650000000000006</v>
      </c>
      <c r="H34" t="e">
        <f t="shared" ref="H34:H65" si="7">IF($E34=H$1,IF($D34="","",$D34),NA())</f>
        <v>#N/A</v>
      </c>
      <c r="I34" t="str">
        <f t="shared" si="4"/>
        <v/>
      </c>
      <c r="S34" s="1">
        <v>77.650000000000006</v>
      </c>
    </row>
    <row r="35" spans="1:19" x14ac:dyDescent="0.3">
      <c r="A35" s="1">
        <v>34</v>
      </c>
      <c r="B35" s="1" t="s">
        <v>67</v>
      </c>
      <c r="C35" t="s">
        <v>68</v>
      </c>
      <c r="D35" s="1">
        <v>-194.95</v>
      </c>
      <c r="E35" t="s">
        <v>238</v>
      </c>
      <c r="F35" t="e">
        <f t="shared" si="5"/>
        <v>#N/A</v>
      </c>
      <c r="G35">
        <f t="shared" si="6"/>
        <v>-194.95</v>
      </c>
      <c r="H35" t="e">
        <f t="shared" si="7"/>
        <v>#N/A</v>
      </c>
      <c r="I35" t="str">
        <f t="shared" si="4"/>
        <v/>
      </c>
      <c r="S35" s="1">
        <v>194.95</v>
      </c>
    </row>
    <row r="36" spans="1:19" x14ac:dyDescent="0.3">
      <c r="A36" s="1">
        <v>35</v>
      </c>
      <c r="B36" s="1" t="s">
        <v>69</v>
      </c>
      <c r="C36" t="s">
        <v>70</v>
      </c>
      <c r="D36" s="1">
        <v>-324.52999999999997</v>
      </c>
      <c r="E36" t="s">
        <v>238</v>
      </c>
      <c r="F36" t="e">
        <f t="shared" si="5"/>
        <v>#N/A</v>
      </c>
      <c r="G36">
        <f t="shared" si="6"/>
        <v>-324.52999999999997</v>
      </c>
      <c r="H36" t="e">
        <f t="shared" si="7"/>
        <v>#N/A</v>
      </c>
      <c r="I36" t="str">
        <f t="shared" si="4"/>
        <v/>
      </c>
      <c r="J36" t="s">
        <v>69</v>
      </c>
      <c r="S36" s="1">
        <v>324.52999999999997</v>
      </c>
    </row>
    <row r="37" spans="1:19" x14ac:dyDescent="0.3">
      <c r="A37" s="1">
        <v>36</v>
      </c>
      <c r="B37" s="1" t="s">
        <v>71</v>
      </c>
      <c r="C37" t="s">
        <v>72</v>
      </c>
      <c r="D37" s="1">
        <v>96</v>
      </c>
      <c r="E37" t="s">
        <v>238</v>
      </c>
      <c r="F37" t="e">
        <f t="shared" si="5"/>
        <v>#N/A</v>
      </c>
      <c r="G37">
        <f t="shared" si="6"/>
        <v>96</v>
      </c>
      <c r="H37" t="e">
        <f t="shared" si="7"/>
        <v>#N/A</v>
      </c>
      <c r="I37" t="str">
        <f t="shared" si="4"/>
        <v/>
      </c>
      <c r="J37" t="s">
        <v>71</v>
      </c>
      <c r="S37" s="1">
        <v>-96</v>
      </c>
    </row>
    <row r="38" spans="1:19" x14ac:dyDescent="0.3">
      <c r="A38" s="1">
        <v>37</v>
      </c>
      <c r="B38" s="1" t="s">
        <v>73</v>
      </c>
      <c r="C38" t="s">
        <v>74</v>
      </c>
      <c r="D38" s="1">
        <v>-46.88</v>
      </c>
      <c r="E38" t="s">
        <v>237</v>
      </c>
      <c r="F38">
        <f t="shared" si="5"/>
        <v>-46.88</v>
      </c>
      <c r="G38" t="e">
        <f t="shared" si="6"/>
        <v>#N/A</v>
      </c>
      <c r="H38" t="e">
        <f t="shared" si="7"/>
        <v>#N/A</v>
      </c>
      <c r="I38" t="str">
        <f t="shared" si="4"/>
        <v/>
      </c>
      <c r="S38" s="1">
        <v>46.88</v>
      </c>
    </row>
    <row r="39" spans="1:19" x14ac:dyDescent="0.3">
      <c r="A39" s="1">
        <v>38</v>
      </c>
      <c r="B39" s="1" t="s">
        <v>75</v>
      </c>
      <c r="C39" t="s">
        <v>76</v>
      </c>
      <c r="D39" s="1">
        <v>-5.0199999999999996</v>
      </c>
      <c r="E39" t="s">
        <v>237</v>
      </c>
      <c r="F39">
        <f t="shared" si="5"/>
        <v>-5.0199999999999996</v>
      </c>
      <c r="G39" t="e">
        <f t="shared" si="6"/>
        <v>#N/A</v>
      </c>
      <c r="H39" t="e">
        <f t="shared" si="7"/>
        <v>#N/A</v>
      </c>
      <c r="I39" t="str">
        <f t="shared" si="4"/>
        <v/>
      </c>
      <c r="S39" s="1">
        <v>5.0199999999999996</v>
      </c>
    </row>
    <row r="40" spans="1:19" x14ac:dyDescent="0.3">
      <c r="A40" s="1">
        <v>39</v>
      </c>
      <c r="B40" s="1" t="s">
        <v>77</v>
      </c>
      <c r="C40" t="s">
        <v>78</v>
      </c>
      <c r="D40" s="1">
        <v>-29.6</v>
      </c>
      <c r="E40" t="s">
        <v>239</v>
      </c>
      <c r="F40" t="e">
        <f t="shared" si="5"/>
        <v>#N/A</v>
      </c>
      <c r="G40" t="e">
        <f t="shared" si="6"/>
        <v>#N/A</v>
      </c>
      <c r="H40">
        <f t="shared" si="7"/>
        <v>-29.6</v>
      </c>
      <c r="I40" t="str">
        <f t="shared" si="4"/>
        <v/>
      </c>
      <c r="S40" s="1">
        <v>29.6</v>
      </c>
    </row>
    <row r="41" spans="1:19" x14ac:dyDescent="0.3">
      <c r="A41" s="1">
        <v>40</v>
      </c>
      <c r="B41" s="1" t="s">
        <v>79</v>
      </c>
      <c r="C41" t="s">
        <v>80</v>
      </c>
      <c r="D41" s="1">
        <v>-41.8</v>
      </c>
      <c r="E41" t="s">
        <v>239</v>
      </c>
      <c r="F41" t="e">
        <f t="shared" si="5"/>
        <v>#N/A</v>
      </c>
      <c r="G41" t="e">
        <f t="shared" si="6"/>
        <v>#N/A</v>
      </c>
      <c r="H41">
        <f t="shared" si="7"/>
        <v>-41.8</v>
      </c>
      <c r="I41" t="str">
        <f t="shared" si="4"/>
        <v/>
      </c>
      <c r="S41" s="1">
        <v>41.8</v>
      </c>
    </row>
    <row r="42" spans="1:19" x14ac:dyDescent="0.3">
      <c r="A42" s="1">
        <v>41</v>
      </c>
      <c r="B42" s="1" t="s">
        <v>81</v>
      </c>
      <c r="C42" t="s">
        <v>82</v>
      </c>
      <c r="D42" s="1">
        <v>-88.51</v>
      </c>
      <c r="E42" t="s">
        <v>239</v>
      </c>
      <c r="F42" t="e">
        <f t="shared" si="5"/>
        <v>#N/A</v>
      </c>
      <c r="G42" t="e">
        <f t="shared" si="6"/>
        <v>#N/A</v>
      </c>
      <c r="H42">
        <f t="shared" si="7"/>
        <v>-88.51</v>
      </c>
      <c r="I42" t="str">
        <f t="shared" ref="I42:I61" si="8">IF($E42=I$1,IF($D42="","",$D42),"")</f>
        <v/>
      </c>
      <c r="S42" s="1">
        <v>88.51</v>
      </c>
    </row>
    <row r="43" spans="1:19" x14ac:dyDescent="0.3">
      <c r="A43" s="1">
        <v>42</v>
      </c>
      <c r="B43" s="1" t="s">
        <v>83</v>
      </c>
      <c r="C43" t="s">
        <v>84</v>
      </c>
      <c r="D43" s="1">
        <v>-72.099999999999994</v>
      </c>
      <c r="E43" t="s">
        <v>239</v>
      </c>
      <c r="F43" t="e">
        <f t="shared" si="5"/>
        <v>#N/A</v>
      </c>
      <c r="G43" t="e">
        <f t="shared" si="6"/>
        <v>#N/A</v>
      </c>
      <c r="H43">
        <f t="shared" si="7"/>
        <v>-72.099999999999994</v>
      </c>
      <c r="I43" t="str">
        <f t="shared" si="8"/>
        <v/>
      </c>
      <c r="S43" s="1">
        <v>72.099999999999994</v>
      </c>
    </row>
    <row r="44" spans="1:19" x14ac:dyDescent="0.3">
      <c r="A44" s="1">
        <v>43</v>
      </c>
      <c r="B44" s="1" t="s">
        <v>85</v>
      </c>
      <c r="C44" t="s">
        <v>86</v>
      </c>
      <c r="D44" s="1">
        <v>-53</v>
      </c>
      <c r="E44" t="s">
        <v>239</v>
      </c>
      <c r="F44" t="e">
        <f t="shared" si="5"/>
        <v>#N/A</v>
      </c>
      <c r="G44" t="e">
        <f t="shared" si="6"/>
        <v>#N/A</v>
      </c>
      <c r="H44">
        <f t="shared" si="7"/>
        <v>-53</v>
      </c>
      <c r="I44" t="str">
        <f t="shared" si="8"/>
        <v/>
      </c>
      <c r="S44" s="1">
        <v>53</v>
      </c>
    </row>
    <row r="45" spans="1:19" x14ac:dyDescent="0.3">
      <c r="A45" s="1">
        <v>44</v>
      </c>
      <c r="B45" s="1" t="s">
        <v>87</v>
      </c>
      <c r="C45" t="s">
        <v>88</v>
      </c>
      <c r="D45" s="1">
        <v>-100.27</v>
      </c>
      <c r="E45" t="s">
        <v>239</v>
      </c>
      <c r="F45" t="e">
        <f t="shared" si="5"/>
        <v>#N/A</v>
      </c>
      <c r="G45" t="e">
        <f t="shared" si="6"/>
        <v>#N/A</v>
      </c>
      <c r="H45">
        <f t="shared" si="7"/>
        <v>-100.27</v>
      </c>
      <c r="I45" t="str">
        <f t="shared" si="8"/>
        <v/>
      </c>
      <c r="S45" s="1">
        <v>100.27</v>
      </c>
    </row>
    <row r="46" spans="1:19" x14ac:dyDescent="0.3">
      <c r="A46" s="1">
        <v>45</v>
      </c>
      <c r="B46" s="1" t="s">
        <v>89</v>
      </c>
      <c r="C46" t="s">
        <v>90</v>
      </c>
      <c r="D46" s="1">
        <v>-110.27</v>
      </c>
      <c r="E46" t="s">
        <v>239</v>
      </c>
      <c r="F46" t="e">
        <f t="shared" si="5"/>
        <v>#N/A</v>
      </c>
      <c r="G46" t="e">
        <f t="shared" si="6"/>
        <v>#N/A</v>
      </c>
      <c r="H46">
        <f t="shared" si="7"/>
        <v>-110.27</v>
      </c>
      <c r="I46" t="str">
        <f t="shared" si="8"/>
        <v/>
      </c>
      <c r="S46" s="1">
        <v>110.27</v>
      </c>
    </row>
    <row r="47" spans="1:19" x14ac:dyDescent="0.3">
      <c r="A47" s="1">
        <v>46</v>
      </c>
      <c r="B47" s="1" t="s">
        <v>91</v>
      </c>
      <c r="C47" t="s">
        <v>92</v>
      </c>
      <c r="D47" s="1">
        <v>-54.24</v>
      </c>
      <c r="E47" t="s">
        <v>239</v>
      </c>
      <c r="F47" t="e">
        <f t="shared" si="5"/>
        <v>#N/A</v>
      </c>
      <c r="G47" t="e">
        <f t="shared" si="6"/>
        <v>#N/A</v>
      </c>
      <c r="H47">
        <f t="shared" si="7"/>
        <v>-54.24</v>
      </c>
      <c r="I47" t="str">
        <f t="shared" si="8"/>
        <v/>
      </c>
      <c r="S47" s="1">
        <v>54.24</v>
      </c>
    </row>
    <row r="48" spans="1:19" x14ac:dyDescent="0.3">
      <c r="A48" s="1">
        <v>47</v>
      </c>
      <c r="B48" s="1" t="s">
        <v>93</v>
      </c>
      <c r="C48" t="s">
        <v>94</v>
      </c>
      <c r="D48" s="1">
        <v>-125.86</v>
      </c>
      <c r="E48" t="s">
        <v>239</v>
      </c>
      <c r="F48" t="e">
        <f t="shared" si="5"/>
        <v>#N/A</v>
      </c>
      <c r="G48" t="e">
        <f t="shared" si="6"/>
        <v>#N/A</v>
      </c>
      <c r="H48">
        <f t="shared" si="7"/>
        <v>-125.86</v>
      </c>
      <c r="I48" t="str">
        <f t="shared" si="8"/>
        <v/>
      </c>
      <c r="S48" s="1">
        <v>125.86</v>
      </c>
    </row>
    <row r="49" spans="1:19" x14ac:dyDescent="0.3">
      <c r="A49" s="1">
        <v>48</v>
      </c>
      <c r="B49" s="1" t="s">
        <v>95</v>
      </c>
      <c r="C49" t="s">
        <v>96</v>
      </c>
      <c r="D49" s="1">
        <v>68</v>
      </c>
      <c r="E49" t="s">
        <v>239</v>
      </c>
      <c r="F49" t="e">
        <f t="shared" si="5"/>
        <v>#N/A</v>
      </c>
      <c r="G49" t="e">
        <f t="shared" si="6"/>
        <v>#N/A</v>
      </c>
      <c r="H49">
        <f t="shared" si="7"/>
        <v>68</v>
      </c>
      <c r="I49" t="str">
        <f t="shared" si="8"/>
        <v/>
      </c>
      <c r="S49" s="1">
        <v>-68</v>
      </c>
    </row>
    <row r="50" spans="1:19" x14ac:dyDescent="0.3">
      <c r="A50" s="1">
        <v>49</v>
      </c>
      <c r="B50" s="1" t="s">
        <v>97</v>
      </c>
      <c r="C50" t="s">
        <v>98</v>
      </c>
      <c r="D50" s="1">
        <v>-37.04</v>
      </c>
      <c r="E50" t="s">
        <v>238</v>
      </c>
      <c r="F50" t="e">
        <f t="shared" si="5"/>
        <v>#N/A</v>
      </c>
      <c r="G50">
        <f t="shared" si="6"/>
        <v>-37.04</v>
      </c>
      <c r="H50" t="e">
        <f t="shared" si="7"/>
        <v>#N/A</v>
      </c>
      <c r="I50" t="str">
        <f t="shared" si="8"/>
        <v/>
      </c>
      <c r="S50" s="1">
        <v>37.04</v>
      </c>
    </row>
    <row r="51" spans="1:19" x14ac:dyDescent="0.3">
      <c r="A51" s="1">
        <v>50</v>
      </c>
      <c r="B51" s="1" t="s">
        <v>99</v>
      </c>
      <c r="C51" t="s">
        <v>100</v>
      </c>
      <c r="D51" s="1">
        <v>-107.29</v>
      </c>
      <c r="E51" t="s">
        <v>238</v>
      </c>
      <c r="F51" t="e">
        <f t="shared" si="5"/>
        <v>#N/A</v>
      </c>
      <c r="G51">
        <f t="shared" si="6"/>
        <v>-107.29</v>
      </c>
      <c r="H51" t="e">
        <f t="shared" si="7"/>
        <v>#N/A</v>
      </c>
      <c r="I51" t="str">
        <f t="shared" si="8"/>
        <v/>
      </c>
      <c r="S51" s="1">
        <v>107.29</v>
      </c>
    </row>
    <row r="52" spans="1:19" x14ac:dyDescent="0.3">
      <c r="A52" s="1">
        <v>51</v>
      </c>
      <c r="B52" s="1" t="s">
        <v>101</v>
      </c>
      <c r="C52" t="s">
        <v>102</v>
      </c>
      <c r="D52" s="1">
        <v>-101.05</v>
      </c>
      <c r="E52" t="s">
        <v>238</v>
      </c>
      <c r="F52" t="e">
        <f t="shared" si="5"/>
        <v>#N/A</v>
      </c>
      <c r="G52">
        <f t="shared" si="6"/>
        <v>-101.05</v>
      </c>
      <c r="H52" t="e">
        <f t="shared" si="7"/>
        <v>#N/A</v>
      </c>
      <c r="I52" t="str">
        <f t="shared" si="8"/>
        <v/>
      </c>
      <c r="S52" s="1">
        <v>101.05</v>
      </c>
    </row>
    <row r="53" spans="1:19" x14ac:dyDescent="0.3">
      <c r="A53" s="1">
        <v>52</v>
      </c>
      <c r="B53" s="1" t="s">
        <v>103</v>
      </c>
      <c r="C53" t="s">
        <v>104</v>
      </c>
      <c r="D53" s="1">
        <v>-190.16</v>
      </c>
      <c r="E53" t="s">
        <v>238</v>
      </c>
      <c r="F53" t="e">
        <f t="shared" si="5"/>
        <v>#N/A</v>
      </c>
      <c r="G53">
        <f t="shared" si="6"/>
        <v>-190.16</v>
      </c>
      <c r="H53" t="e">
        <f t="shared" si="7"/>
        <v>#N/A</v>
      </c>
      <c r="I53" t="str">
        <f t="shared" si="8"/>
        <v/>
      </c>
      <c r="S53" s="1">
        <v>190.16</v>
      </c>
    </row>
    <row r="54" spans="1:19" x14ac:dyDescent="0.3">
      <c r="A54" s="1">
        <v>53</v>
      </c>
      <c r="B54" s="1" t="s">
        <v>105</v>
      </c>
      <c r="C54" t="s">
        <v>106</v>
      </c>
      <c r="D54" s="1">
        <v>-295.14999999999998</v>
      </c>
      <c r="E54" t="s">
        <v>238</v>
      </c>
      <c r="F54" t="e">
        <f t="shared" si="5"/>
        <v>#N/A</v>
      </c>
      <c r="G54">
        <f t="shared" si="6"/>
        <v>-295.14999999999998</v>
      </c>
      <c r="H54" t="e">
        <f t="shared" si="7"/>
        <v>#N/A</v>
      </c>
      <c r="I54" t="str">
        <f t="shared" si="8"/>
        <v/>
      </c>
      <c r="S54" s="1">
        <v>295.14999999999998</v>
      </c>
    </row>
    <row r="55" spans="1:19" x14ac:dyDescent="0.3">
      <c r="A55" s="1">
        <v>54</v>
      </c>
      <c r="B55" s="1" t="s">
        <v>107</v>
      </c>
      <c r="C55" t="s">
        <v>108</v>
      </c>
      <c r="D55" s="1">
        <v>77</v>
      </c>
      <c r="E55" t="s">
        <v>238</v>
      </c>
      <c r="F55" t="e">
        <f t="shared" si="5"/>
        <v>#N/A</v>
      </c>
      <c r="G55">
        <f t="shared" si="6"/>
        <v>77</v>
      </c>
      <c r="H55" t="e">
        <f t="shared" si="7"/>
        <v>#N/A</v>
      </c>
      <c r="I55" t="str">
        <f t="shared" si="8"/>
        <v/>
      </c>
      <c r="S55" s="1">
        <v>-77</v>
      </c>
    </row>
    <row r="56" spans="1:19" x14ac:dyDescent="0.3">
      <c r="A56" s="1">
        <v>55</v>
      </c>
      <c r="B56" s="1" t="s">
        <v>109</v>
      </c>
      <c r="C56" t="s">
        <v>110</v>
      </c>
      <c r="D56" s="1">
        <v>-45.5</v>
      </c>
      <c r="E56" t="s">
        <v>237</v>
      </c>
      <c r="F56">
        <f t="shared" si="5"/>
        <v>-45.5</v>
      </c>
      <c r="G56" t="e">
        <f t="shared" si="6"/>
        <v>#N/A</v>
      </c>
      <c r="H56" t="e">
        <f t="shared" si="7"/>
        <v>#N/A</v>
      </c>
      <c r="I56" t="str">
        <f t="shared" si="8"/>
        <v/>
      </c>
      <c r="S56" s="1">
        <v>45.5</v>
      </c>
    </row>
    <row r="57" spans="1:19" x14ac:dyDescent="0.3">
      <c r="A57" s="1">
        <v>56</v>
      </c>
      <c r="B57" s="1" t="s">
        <v>111</v>
      </c>
      <c r="C57" t="s">
        <v>112</v>
      </c>
      <c r="D57" s="1">
        <v>-13.95</v>
      </c>
      <c r="E57" t="s">
        <v>237</v>
      </c>
      <c r="F57">
        <f t="shared" si="5"/>
        <v>-13.95</v>
      </c>
      <c r="G57" t="e">
        <f t="shared" si="6"/>
        <v>#N/A</v>
      </c>
      <c r="H57" t="e">
        <f t="shared" si="7"/>
        <v>#N/A</v>
      </c>
      <c r="I57" t="str">
        <f t="shared" si="8"/>
        <v/>
      </c>
      <c r="S57" s="1">
        <v>13.95</v>
      </c>
    </row>
    <row r="58" spans="1:19" x14ac:dyDescent="0.3">
      <c r="A58" s="1">
        <v>57</v>
      </c>
      <c r="B58" s="1" t="s">
        <v>113</v>
      </c>
      <c r="C58" t="s">
        <v>114</v>
      </c>
      <c r="D58" s="1">
        <v>-53.79</v>
      </c>
      <c r="E58" t="s">
        <v>240</v>
      </c>
      <c r="F58" t="e">
        <f t="shared" si="5"/>
        <v>#N/A</v>
      </c>
      <c r="G58" t="e">
        <f t="shared" si="6"/>
        <v>#N/A</v>
      </c>
      <c r="H58" t="e">
        <f t="shared" si="7"/>
        <v>#N/A</v>
      </c>
      <c r="I58">
        <f t="shared" si="8"/>
        <v>-53.79</v>
      </c>
      <c r="S58" s="1">
        <v>53.79</v>
      </c>
    </row>
    <row r="59" spans="1:19" x14ac:dyDescent="0.3">
      <c r="A59" s="1">
        <v>58</v>
      </c>
      <c r="B59" s="1" t="s">
        <v>115</v>
      </c>
      <c r="C59" t="s">
        <v>116</v>
      </c>
      <c r="D59" s="1">
        <v>-55</v>
      </c>
      <c r="E59" t="s">
        <v>240</v>
      </c>
      <c r="F59" t="e">
        <f t="shared" si="5"/>
        <v>#N/A</v>
      </c>
      <c r="G59" t="e">
        <f t="shared" si="6"/>
        <v>#N/A</v>
      </c>
      <c r="H59" t="e">
        <f t="shared" si="7"/>
        <v>#N/A</v>
      </c>
      <c r="I59">
        <f t="shared" si="8"/>
        <v>-55</v>
      </c>
      <c r="S59" s="1">
        <v>55</v>
      </c>
    </row>
    <row r="60" spans="1:19" x14ac:dyDescent="0.3">
      <c r="A60" s="1">
        <v>59</v>
      </c>
      <c r="B60" s="1" t="s">
        <v>117</v>
      </c>
      <c r="C60" t="s">
        <v>118</v>
      </c>
      <c r="D60" s="1">
        <v>-10.53</v>
      </c>
      <c r="E60" t="s">
        <v>240</v>
      </c>
      <c r="F60" t="e">
        <f t="shared" si="5"/>
        <v>#N/A</v>
      </c>
      <c r="G60" t="e">
        <f t="shared" si="6"/>
        <v>#N/A</v>
      </c>
      <c r="H60" t="e">
        <f t="shared" si="7"/>
        <v>#N/A</v>
      </c>
      <c r="I60">
        <f t="shared" si="8"/>
        <v>-10.53</v>
      </c>
      <c r="S60" s="1">
        <v>10.53</v>
      </c>
    </row>
    <row r="61" spans="1:19" x14ac:dyDescent="0.3">
      <c r="A61" s="1">
        <v>60</v>
      </c>
      <c r="B61" s="1" t="s">
        <v>119</v>
      </c>
      <c r="C61" t="s">
        <v>120</v>
      </c>
      <c r="D61" s="1">
        <v>-9.4</v>
      </c>
      <c r="E61" t="s">
        <v>240</v>
      </c>
      <c r="F61" t="e">
        <f t="shared" si="5"/>
        <v>#N/A</v>
      </c>
      <c r="G61" t="e">
        <f t="shared" si="6"/>
        <v>#N/A</v>
      </c>
      <c r="H61" t="e">
        <f t="shared" si="7"/>
        <v>#N/A</v>
      </c>
      <c r="I61">
        <f t="shared" si="8"/>
        <v>-9.4</v>
      </c>
      <c r="S61" s="1">
        <v>9.4</v>
      </c>
    </row>
    <row r="62" spans="1:19" x14ac:dyDescent="0.3">
      <c r="A62" s="1">
        <v>61</v>
      </c>
      <c r="B62" s="1" t="s">
        <v>121</v>
      </c>
      <c r="C62" t="s">
        <v>122</v>
      </c>
      <c r="D62" s="1">
        <v>-12.45</v>
      </c>
      <c r="E62" t="s">
        <v>240</v>
      </c>
      <c r="F62" t="e">
        <f t="shared" si="5"/>
        <v>#N/A</v>
      </c>
      <c r="G62" t="e">
        <f t="shared" si="6"/>
        <v>#N/A</v>
      </c>
      <c r="H62" t="e">
        <f t="shared" si="7"/>
        <v>#N/A</v>
      </c>
      <c r="I62">
        <f t="shared" ref="I62:I81" si="9">IF($E62=I$1,IF($D62="","",$D62),"")</f>
        <v>-12.45</v>
      </c>
      <c r="S62" s="1">
        <v>12.45</v>
      </c>
    </row>
    <row r="63" spans="1:19" x14ac:dyDescent="0.3">
      <c r="A63" s="1">
        <v>62</v>
      </c>
      <c r="B63" s="1" t="s">
        <v>123</v>
      </c>
      <c r="C63" t="s">
        <v>124</v>
      </c>
      <c r="D63" s="1">
        <v>-15.63</v>
      </c>
      <c r="E63" t="s">
        <v>240</v>
      </c>
      <c r="F63" t="e">
        <f t="shared" si="5"/>
        <v>#N/A</v>
      </c>
      <c r="G63" t="e">
        <f t="shared" si="6"/>
        <v>#N/A</v>
      </c>
      <c r="H63" t="e">
        <f t="shared" si="7"/>
        <v>#N/A</v>
      </c>
      <c r="I63">
        <f t="shared" si="9"/>
        <v>-15.63</v>
      </c>
      <c r="S63" s="1">
        <v>15.63</v>
      </c>
    </row>
    <row r="64" spans="1:19" x14ac:dyDescent="0.3">
      <c r="A64" s="1">
        <v>63</v>
      </c>
      <c r="B64" s="1" t="s">
        <v>125</v>
      </c>
      <c r="C64" t="s">
        <v>126</v>
      </c>
      <c r="D64" s="1">
        <v>-11.2</v>
      </c>
      <c r="E64" t="s">
        <v>240</v>
      </c>
      <c r="F64" t="e">
        <f t="shared" si="5"/>
        <v>#N/A</v>
      </c>
      <c r="G64" t="e">
        <f t="shared" si="6"/>
        <v>#N/A</v>
      </c>
      <c r="H64" t="e">
        <f t="shared" si="7"/>
        <v>#N/A</v>
      </c>
      <c r="I64">
        <f t="shared" si="9"/>
        <v>-11.2</v>
      </c>
      <c r="S64" s="1">
        <v>11.2</v>
      </c>
    </row>
    <row r="65" spans="1:19" x14ac:dyDescent="0.3">
      <c r="A65" s="1">
        <v>64</v>
      </c>
      <c r="B65" s="1" t="s">
        <v>127</v>
      </c>
      <c r="C65" t="s">
        <v>128</v>
      </c>
      <c r="D65" s="1">
        <v>-13.22</v>
      </c>
      <c r="E65" t="s">
        <v>240</v>
      </c>
      <c r="F65" t="e">
        <f t="shared" si="5"/>
        <v>#N/A</v>
      </c>
      <c r="G65" t="e">
        <f t="shared" si="6"/>
        <v>#N/A</v>
      </c>
      <c r="H65" t="e">
        <f t="shared" si="7"/>
        <v>#N/A</v>
      </c>
      <c r="I65">
        <f t="shared" si="9"/>
        <v>-13.22</v>
      </c>
      <c r="S65" s="1">
        <v>13.22</v>
      </c>
    </row>
    <row r="66" spans="1:19" x14ac:dyDescent="0.3">
      <c r="A66" s="1">
        <v>65</v>
      </c>
      <c r="B66" s="1" t="s">
        <v>129</v>
      </c>
      <c r="C66" t="s">
        <v>130</v>
      </c>
      <c r="D66" s="1">
        <v>-12.67</v>
      </c>
      <c r="E66" t="s">
        <v>240</v>
      </c>
      <c r="F66" t="e">
        <f t="shared" ref="F66:F97" si="10">IF($E66=F$1,IF($D66="","",$D66),NA())</f>
        <v>#N/A</v>
      </c>
      <c r="G66" t="e">
        <f t="shared" ref="G66:G97" si="11">IF($E66=G$1,IF($D66="","",$D66),NA())</f>
        <v>#N/A</v>
      </c>
      <c r="H66" t="e">
        <f t="shared" ref="H66:H97" si="12">IF($E66=H$1,IF($D66="","",$D66),NA())</f>
        <v>#N/A</v>
      </c>
      <c r="I66">
        <f t="shared" si="9"/>
        <v>-12.67</v>
      </c>
      <c r="S66" s="1">
        <v>12.67</v>
      </c>
    </row>
    <row r="67" spans="1:19" x14ac:dyDescent="0.3">
      <c r="A67" s="1">
        <v>66</v>
      </c>
      <c r="B67" s="1" t="s">
        <v>131</v>
      </c>
      <c r="C67" t="s">
        <v>132</v>
      </c>
      <c r="D67" s="1">
        <v>-33.96</v>
      </c>
      <c r="E67" t="s">
        <v>240</v>
      </c>
      <c r="F67" t="e">
        <f t="shared" si="10"/>
        <v>#N/A</v>
      </c>
      <c r="G67" t="e">
        <f t="shared" si="11"/>
        <v>#N/A</v>
      </c>
      <c r="H67" t="e">
        <f t="shared" si="12"/>
        <v>#N/A</v>
      </c>
      <c r="I67">
        <f t="shared" si="9"/>
        <v>-33.96</v>
      </c>
      <c r="S67" s="1">
        <v>33.96</v>
      </c>
    </row>
    <row r="68" spans="1:19" x14ac:dyDescent="0.3">
      <c r="A68" s="1">
        <v>67</v>
      </c>
      <c r="B68" s="1" t="s">
        <v>133</v>
      </c>
      <c r="C68" t="s">
        <v>134</v>
      </c>
      <c r="D68" s="1">
        <v>-32.61</v>
      </c>
      <c r="E68" t="s">
        <v>240</v>
      </c>
      <c r="F68" t="e">
        <f t="shared" si="10"/>
        <v>#N/A</v>
      </c>
      <c r="G68" t="e">
        <f t="shared" si="11"/>
        <v>#N/A</v>
      </c>
      <c r="H68" t="e">
        <f t="shared" si="12"/>
        <v>#N/A</v>
      </c>
      <c r="I68">
        <f t="shared" si="9"/>
        <v>-32.61</v>
      </c>
      <c r="S68" s="1">
        <v>32.61</v>
      </c>
    </row>
    <row r="69" spans="1:19" x14ac:dyDescent="0.3">
      <c r="A69" s="1">
        <v>68</v>
      </c>
      <c r="B69" s="1" t="s">
        <v>135</v>
      </c>
      <c r="C69" t="s">
        <v>136</v>
      </c>
      <c r="D69" s="1">
        <v>-30.1</v>
      </c>
      <c r="E69" t="s">
        <v>240</v>
      </c>
      <c r="F69" t="e">
        <f t="shared" si="10"/>
        <v>#N/A</v>
      </c>
      <c r="G69" t="e">
        <f t="shared" si="11"/>
        <v>#N/A</v>
      </c>
      <c r="H69" t="e">
        <f t="shared" si="12"/>
        <v>#N/A</v>
      </c>
      <c r="I69">
        <f t="shared" si="9"/>
        <v>-30.1</v>
      </c>
      <c r="S69" s="1">
        <v>30.1</v>
      </c>
    </row>
    <row r="70" spans="1:19" x14ac:dyDescent="0.3">
      <c r="A70" s="1">
        <v>69</v>
      </c>
      <c r="B70" s="1" t="s">
        <v>137</v>
      </c>
      <c r="C70" t="s">
        <v>138</v>
      </c>
      <c r="D70" s="1">
        <v>-99</v>
      </c>
      <c r="E70" t="s">
        <v>240</v>
      </c>
      <c r="F70" t="e">
        <f t="shared" si="10"/>
        <v>#N/A</v>
      </c>
      <c r="G70" t="e">
        <f t="shared" si="11"/>
        <v>#N/A</v>
      </c>
      <c r="H70" t="e">
        <f t="shared" si="12"/>
        <v>#N/A</v>
      </c>
      <c r="I70">
        <f t="shared" si="9"/>
        <v>-99</v>
      </c>
      <c r="S70" s="1">
        <v>99</v>
      </c>
    </row>
    <row r="71" spans="1:19" x14ac:dyDescent="0.3">
      <c r="A71" s="1">
        <v>70</v>
      </c>
      <c r="B71" s="1" t="s">
        <v>139</v>
      </c>
      <c r="C71" t="s">
        <v>140</v>
      </c>
      <c r="D71" s="1">
        <v>1.93</v>
      </c>
      <c r="E71" t="s">
        <v>240</v>
      </c>
      <c r="F71" t="e">
        <f t="shared" si="10"/>
        <v>#N/A</v>
      </c>
      <c r="G71" t="e">
        <f t="shared" si="11"/>
        <v>#N/A</v>
      </c>
      <c r="H71" t="e">
        <f t="shared" si="12"/>
        <v>#N/A</v>
      </c>
      <c r="I71">
        <f t="shared" si="9"/>
        <v>1.93</v>
      </c>
      <c r="S71" s="1">
        <v>-1.93</v>
      </c>
    </row>
    <row r="72" spans="1:19" x14ac:dyDescent="0.3">
      <c r="A72" s="1">
        <v>71</v>
      </c>
      <c r="B72" s="1" t="s">
        <v>141</v>
      </c>
      <c r="C72" t="s">
        <v>142</v>
      </c>
      <c r="D72" s="1">
        <v>-23.04</v>
      </c>
      <c r="E72" t="s">
        <v>239</v>
      </c>
      <c r="F72" t="e">
        <f t="shared" si="10"/>
        <v>#N/A</v>
      </c>
      <c r="G72" t="e">
        <f t="shared" si="11"/>
        <v>#N/A</v>
      </c>
      <c r="H72">
        <f t="shared" si="12"/>
        <v>-23.04</v>
      </c>
      <c r="I72" t="str">
        <f t="shared" si="9"/>
        <v/>
      </c>
      <c r="S72" s="1">
        <v>23.04</v>
      </c>
    </row>
    <row r="73" spans="1:19" x14ac:dyDescent="0.3">
      <c r="A73" s="1">
        <v>72</v>
      </c>
      <c r="B73" s="1" t="s">
        <v>143</v>
      </c>
      <c r="C73" t="s">
        <v>144</v>
      </c>
      <c r="D73" s="1">
        <v>-17.18</v>
      </c>
      <c r="E73" t="s">
        <v>239</v>
      </c>
      <c r="F73" t="e">
        <f t="shared" si="10"/>
        <v>#N/A</v>
      </c>
      <c r="G73" t="e">
        <f t="shared" si="11"/>
        <v>#N/A</v>
      </c>
      <c r="H73">
        <f t="shared" si="12"/>
        <v>-17.18</v>
      </c>
      <c r="I73" t="str">
        <f t="shared" si="9"/>
        <v/>
      </c>
      <c r="S73" s="1">
        <v>17.18</v>
      </c>
    </row>
    <row r="74" spans="1:19" x14ac:dyDescent="0.3">
      <c r="A74" s="1">
        <v>73</v>
      </c>
      <c r="B74" s="1" t="s">
        <v>145</v>
      </c>
      <c r="C74" t="s">
        <v>146</v>
      </c>
      <c r="D74" s="1">
        <v>-31</v>
      </c>
      <c r="E74" t="s">
        <v>239</v>
      </c>
      <c r="F74" t="e">
        <f t="shared" si="10"/>
        <v>#N/A</v>
      </c>
      <c r="G74" t="e">
        <f t="shared" si="11"/>
        <v>#N/A</v>
      </c>
      <c r="H74">
        <f t="shared" si="12"/>
        <v>-31</v>
      </c>
      <c r="I74" t="str">
        <f t="shared" si="9"/>
        <v/>
      </c>
      <c r="S74" s="1">
        <v>31</v>
      </c>
    </row>
    <row r="75" spans="1:19" x14ac:dyDescent="0.3">
      <c r="A75" s="1">
        <v>74</v>
      </c>
      <c r="B75" s="1" t="s">
        <v>147</v>
      </c>
      <c r="C75" t="s">
        <v>148</v>
      </c>
      <c r="D75" s="1">
        <v>-78.760000000000005</v>
      </c>
      <c r="E75" t="s">
        <v>239</v>
      </c>
      <c r="F75" t="e">
        <f t="shared" si="10"/>
        <v>#N/A</v>
      </c>
      <c r="G75" t="e">
        <f t="shared" si="11"/>
        <v>#N/A</v>
      </c>
      <c r="H75">
        <f t="shared" si="12"/>
        <v>-78.760000000000005</v>
      </c>
      <c r="I75" t="str">
        <f t="shared" si="9"/>
        <v/>
      </c>
      <c r="S75" s="1">
        <v>78.760000000000005</v>
      </c>
    </row>
    <row r="76" spans="1:19" x14ac:dyDescent="0.3">
      <c r="A76" s="1">
        <v>75</v>
      </c>
      <c r="B76" s="1" t="s">
        <v>149</v>
      </c>
      <c r="C76" t="s">
        <v>150</v>
      </c>
      <c r="D76" s="1">
        <v>-5.82</v>
      </c>
      <c r="E76" t="s">
        <v>239</v>
      </c>
      <c r="F76" t="e">
        <f t="shared" si="10"/>
        <v>#N/A</v>
      </c>
      <c r="G76" t="e">
        <f t="shared" si="11"/>
        <v>#N/A</v>
      </c>
      <c r="H76">
        <f t="shared" si="12"/>
        <v>-5.82</v>
      </c>
      <c r="I76" t="str">
        <f t="shared" si="9"/>
        <v/>
      </c>
      <c r="S76" s="1">
        <v>5.82</v>
      </c>
    </row>
    <row r="77" spans="1:19" x14ac:dyDescent="0.3">
      <c r="A77" s="1">
        <v>76</v>
      </c>
      <c r="B77" s="1" t="s">
        <v>151</v>
      </c>
      <c r="C77" t="s">
        <v>152</v>
      </c>
      <c r="D77" s="1">
        <v>-104</v>
      </c>
      <c r="E77" t="s">
        <v>239</v>
      </c>
      <c r="F77" t="e">
        <f t="shared" si="10"/>
        <v>#N/A</v>
      </c>
      <c r="G77" t="e">
        <f t="shared" si="11"/>
        <v>#N/A</v>
      </c>
      <c r="H77">
        <f t="shared" si="12"/>
        <v>-104</v>
      </c>
      <c r="I77" t="str">
        <f t="shared" si="9"/>
        <v/>
      </c>
      <c r="S77" s="1">
        <v>104</v>
      </c>
    </row>
    <row r="78" spans="1:19" x14ac:dyDescent="0.3">
      <c r="A78" s="1">
        <v>77</v>
      </c>
      <c r="B78" s="1" t="s">
        <v>153</v>
      </c>
      <c r="C78" t="s">
        <v>154</v>
      </c>
      <c r="D78" s="1">
        <v>-150.94</v>
      </c>
      <c r="E78" t="s">
        <v>239</v>
      </c>
      <c r="F78" t="e">
        <f t="shared" si="10"/>
        <v>#N/A</v>
      </c>
      <c r="G78" t="e">
        <f t="shared" si="11"/>
        <v>#N/A</v>
      </c>
      <c r="H78">
        <f t="shared" si="12"/>
        <v>-150.94</v>
      </c>
      <c r="I78" t="str">
        <f t="shared" si="9"/>
        <v/>
      </c>
      <c r="S78" s="1">
        <v>150.94</v>
      </c>
    </row>
    <row r="79" spans="1:19" x14ac:dyDescent="0.3">
      <c r="A79" s="1">
        <v>78</v>
      </c>
      <c r="B79" s="1" t="s">
        <v>155</v>
      </c>
      <c r="C79" t="s">
        <v>156</v>
      </c>
      <c r="D79" s="1">
        <v>-205.04</v>
      </c>
      <c r="E79" t="s">
        <v>239</v>
      </c>
      <c r="F79" t="e">
        <f t="shared" si="10"/>
        <v>#N/A</v>
      </c>
      <c r="G79" t="e">
        <f t="shared" si="11"/>
        <v>#N/A</v>
      </c>
      <c r="H79">
        <f t="shared" si="12"/>
        <v>-205.04</v>
      </c>
      <c r="I79" t="str">
        <f t="shared" si="9"/>
        <v/>
      </c>
      <c r="S79" s="1">
        <v>205.04</v>
      </c>
    </row>
    <row r="80" spans="1:19" x14ac:dyDescent="0.3">
      <c r="A80" s="1">
        <v>79</v>
      </c>
      <c r="B80" s="1" t="s">
        <v>157</v>
      </c>
      <c r="C80" t="s">
        <v>158</v>
      </c>
      <c r="D80" s="1">
        <v>-222.75</v>
      </c>
      <c r="E80" t="s">
        <v>239</v>
      </c>
      <c r="F80" t="e">
        <f t="shared" si="10"/>
        <v>#N/A</v>
      </c>
      <c r="G80" t="e">
        <f t="shared" si="11"/>
        <v>#N/A</v>
      </c>
      <c r="H80">
        <f t="shared" si="12"/>
        <v>-222.75</v>
      </c>
      <c r="I80" t="str">
        <f t="shared" si="9"/>
        <v/>
      </c>
      <c r="S80" s="1">
        <v>222.75</v>
      </c>
    </row>
    <row r="81" spans="1:19" x14ac:dyDescent="0.3">
      <c r="A81" s="1">
        <v>80</v>
      </c>
      <c r="B81" s="1" t="s">
        <v>159</v>
      </c>
      <c r="C81" t="s">
        <v>160</v>
      </c>
      <c r="D81" s="1">
        <v>48</v>
      </c>
      <c r="E81" t="s">
        <v>239</v>
      </c>
      <c r="F81" t="e">
        <f t="shared" si="10"/>
        <v>#N/A</v>
      </c>
      <c r="G81" t="e">
        <f t="shared" si="11"/>
        <v>#N/A</v>
      </c>
      <c r="H81">
        <f t="shared" si="12"/>
        <v>48</v>
      </c>
      <c r="I81" t="str">
        <f t="shared" si="9"/>
        <v/>
      </c>
      <c r="S81" s="1">
        <v>-48</v>
      </c>
    </row>
    <row r="82" spans="1:19" x14ac:dyDescent="0.3">
      <c r="A82" s="1">
        <v>81</v>
      </c>
      <c r="B82" s="1" t="s">
        <v>161</v>
      </c>
      <c r="C82" t="s">
        <v>162</v>
      </c>
      <c r="D82" s="1">
        <v>-30.88</v>
      </c>
      <c r="E82" t="s">
        <v>238</v>
      </c>
      <c r="F82" t="e">
        <f t="shared" si="10"/>
        <v>#N/A</v>
      </c>
      <c r="G82">
        <f t="shared" si="11"/>
        <v>-30.88</v>
      </c>
      <c r="H82" t="e">
        <f t="shared" si="12"/>
        <v>#N/A</v>
      </c>
      <c r="I82" t="str">
        <f t="shared" ref="I82:I101" si="13">IF($E82=I$1,IF($D82="","",$D82),"")</f>
        <v/>
      </c>
      <c r="S82" s="1">
        <v>30.88</v>
      </c>
    </row>
    <row r="83" spans="1:19" x14ac:dyDescent="0.3">
      <c r="A83" s="1">
        <v>82</v>
      </c>
      <c r="B83" s="1" t="s">
        <v>163</v>
      </c>
      <c r="C83" t="s">
        <v>164</v>
      </c>
      <c r="D83" s="1">
        <v>-34.409999999999997</v>
      </c>
      <c r="E83" t="s">
        <v>238</v>
      </c>
      <c r="F83" t="e">
        <f t="shared" si="10"/>
        <v>#N/A</v>
      </c>
      <c r="G83">
        <f t="shared" si="11"/>
        <v>-34.409999999999997</v>
      </c>
      <c r="H83" t="e">
        <f t="shared" si="12"/>
        <v>#N/A</v>
      </c>
      <c r="I83" t="str">
        <f t="shared" si="13"/>
        <v/>
      </c>
      <c r="S83" s="1">
        <v>34.409999999999997</v>
      </c>
    </row>
    <row r="84" spans="1:19" x14ac:dyDescent="0.3">
      <c r="A84" s="1">
        <v>83</v>
      </c>
      <c r="B84" s="1" t="s">
        <v>165</v>
      </c>
      <c r="C84" t="s">
        <v>166</v>
      </c>
      <c r="D84" s="1">
        <v>-90.92</v>
      </c>
      <c r="E84" t="s">
        <v>238</v>
      </c>
      <c r="F84" t="e">
        <f t="shared" si="10"/>
        <v>#N/A</v>
      </c>
      <c r="G84">
        <f t="shared" si="11"/>
        <v>-90.92</v>
      </c>
      <c r="H84" t="e">
        <f t="shared" si="12"/>
        <v>#N/A</v>
      </c>
      <c r="I84" t="str">
        <f t="shared" si="13"/>
        <v/>
      </c>
      <c r="S84" s="1">
        <v>90.92</v>
      </c>
    </row>
    <row r="85" spans="1:19" x14ac:dyDescent="0.3">
      <c r="A85" s="1">
        <v>84</v>
      </c>
      <c r="B85" s="1" t="s">
        <v>167</v>
      </c>
      <c r="C85" t="s">
        <v>168</v>
      </c>
      <c r="D85" s="1">
        <v>-136</v>
      </c>
      <c r="E85" t="s">
        <v>238</v>
      </c>
      <c r="F85" t="e">
        <f t="shared" si="10"/>
        <v>#N/A</v>
      </c>
      <c r="G85">
        <f t="shared" si="11"/>
        <v>-136</v>
      </c>
      <c r="H85" t="e">
        <f t="shared" si="12"/>
        <v>#N/A</v>
      </c>
      <c r="I85" t="str">
        <f t="shared" si="13"/>
        <v/>
      </c>
      <c r="S85" s="1">
        <v>136</v>
      </c>
    </row>
    <row r="86" spans="1:19" x14ac:dyDescent="0.3">
      <c r="A86" s="1">
        <v>85</v>
      </c>
      <c r="B86" s="1" t="s">
        <v>169</v>
      </c>
      <c r="C86" t="s">
        <v>170</v>
      </c>
      <c r="D86" s="1">
        <v>-233</v>
      </c>
      <c r="E86" t="s">
        <v>238</v>
      </c>
      <c r="F86" t="e">
        <f t="shared" si="10"/>
        <v>#N/A</v>
      </c>
      <c r="G86">
        <f t="shared" si="11"/>
        <v>-233</v>
      </c>
      <c r="H86" t="e">
        <f t="shared" si="12"/>
        <v>#N/A</v>
      </c>
      <c r="I86" t="str">
        <f t="shared" si="13"/>
        <v/>
      </c>
      <c r="S86" s="1">
        <v>233</v>
      </c>
    </row>
    <row r="87" spans="1:19" x14ac:dyDescent="0.3">
      <c r="A87" s="1">
        <v>86</v>
      </c>
      <c r="B87" s="1" t="s">
        <v>171</v>
      </c>
      <c r="C87" t="s">
        <v>172</v>
      </c>
      <c r="D87" s="1">
        <v>68</v>
      </c>
      <c r="E87" t="s">
        <v>238</v>
      </c>
      <c r="F87" t="e">
        <f t="shared" si="10"/>
        <v>#N/A</v>
      </c>
      <c r="G87">
        <f t="shared" si="11"/>
        <v>68</v>
      </c>
      <c r="H87" t="e">
        <f t="shared" si="12"/>
        <v>#N/A</v>
      </c>
      <c r="I87" t="str">
        <f t="shared" si="13"/>
        <v/>
      </c>
      <c r="S87" s="1">
        <v>-68</v>
      </c>
    </row>
    <row r="88" spans="1:19" x14ac:dyDescent="0.3">
      <c r="A88" s="1">
        <v>87</v>
      </c>
      <c r="B88" s="1" t="s">
        <v>173</v>
      </c>
      <c r="C88" t="s">
        <v>174</v>
      </c>
      <c r="D88" s="1">
        <v>-46.89</v>
      </c>
      <c r="E88" t="s">
        <v>237</v>
      </c>
      <c r="F88">
        <f t="shared" si="10"/>
        <v>-46.89</v>
      </c>
      <c r="G88" t="e">
        <f t="shared" si="11"/>
        <v>#N/A</v>
      </c>
      <c r="H88" t="e">
        <f t="shared" si="12"/>
        <v>#N/A</v>
      </c>
      <c r="I88" t="str">
        <f t="shared" si="13"/>
        <v/>
      </c>
      <c r="S88" s="1">
        <v>46.89</v>
      </c>
    </row>
    <row r="89" spans="1:19" x14ac:dyDescent="0.3">
      <c r="A89" s="1">
        <v>88</v>
      </c>
      <c r="B89" s="1" t="s">
        <v>175</v>
      </c>
      <c r="C89" t="s">
        <v>176</v>
      </c>
      <c r="D89" s="1">
        <v>-9.64</v>
      </c>
      <c r="E89" t="s">
        <v>237</v>
      </c>
      <c r="F89">
        <f t="shared" si="10"/>
        <v>-9.64</v>
      </c>
      <c r="G89" t="e">
        <f t="shared" si="11"/>
        <v>#N/A</v>
      </c>
      <c r="H89" t="e">
        <f t="shared" si="12"/>
        <v>#N/A</v>
      </c>
      <c r="I89" t="str">
        <f t="shared" si="13"/>
        <v/>
      </c>
      <c r="S89" s="1">
        <v>9.64</v>
      </c>
    </row>
    <row r="90" spans="1:19" x14ac:dyDescent="0.3">
      <c r="A90" s="1">
        <v>89</v>
      </c>
      <c r="B90" s="1" t="s">
        <v>177</v>
      </c>
      <c r="C90" t="s">
        <v>178</v>
      </c>
      <c r="D90" s="1">
        <v>-33.770000000000003</v>
      </c>
      <c r="E90" t="s">
        <v>240</v>
      </c>
      <c r="F90" t="e">
        <f t="shared" si="10"/>
        <v>#N/A</v>
      </c>
      <c r="G90" t="e">
        <f t="shared" si="11"/>
        <v>#N/A</v>
      </c>
      <c r="H90" t="e">
        <f t="shared" si="12"/>
        <v>#N/A</v>
      </c>
      <c r="I90">
        <f t="shared" si="13"/>
        <v>-33.770000000000003</v>
      </c>
      <c r="S90" s="1">
        <v>33.770000000000003</v>
      </c>
    </row>
    <row r="91" spans="1:19" x14ac:dyDescent="0.3">
      <c r="A91" s="1">
        <v>90</v>
      </c>
      <c r="B91" s="1" t="s">
        <v>179</v>
      </c>
      <c r="C91" t="s">
        <v>180</v>
      </c>
      <c r="D91" s="1">
        <v>-112.72</v>
      </c>
      <c r="E91" t="s">
        <v>240</v>
      </c>
      <c r="F91" t="e">
        <f t="shared" si="10"/>
        <v>#N/A</v>
      </c>
      <c r="G91" t="e">
        <f t="shared" si="11"/>
        <v>#N/A</v>
      </c>
      <c r="H91" t="e">
        <f t="shared" si="12"/>
        <v>#N/A</v>
      </c>
      <c r="I91">
        <f t="shared" si="13"/>
        <v>-112.72</v>
      </c>
      <c r="S91" s="1">
        <v>112.72</v>
      </c>
    </row>
    <row r="92" spans="1:19" x14ac:dyDescent="0.3">
      <c r="A92" s="1">
        <v>91</v>
      </c>
      <c r="B92" s="1" t="s">
        <v>181</v>
      </c>
      <c r="C92" t="s">
        <v>182</v>
      </c>
      <c r="D92" s="1">
        <v>-53.03</v>
      </c>
      <c r="E92" t="s">
        <v>240</v>
      </c>
      <c r="F92" t="e">
        <f t="shared" si="10"/>
        <v>#N/A</v>
      </c>
      <c r="G92" t="e">
        <f t="shared" si="11"/>
        <v>#N/A</v>
      </c>
      <c r="H92" t="e">
        <f t="shared" si="12"/>
        <v>#N/A</v>
      </c>
      <c r="I92">
        <f t="shared" si="13"/>
        <v>-53.03</v>
      </c>
      <c r="S92" s="1">
        <v>53.03</v>
      </c>
    </row>
    <row r="93" spans="1:19" x14ac:dyDescent="0.3">
      <c r="A93" s="1">
        <v>92</v>
      </c>
      <c r="B93" s="1" t="s">
        <v>183</v>
      </c>
      <c r="C93" t="s">
        <v>184</v>
      </c>
      <c r="D93" s="1">
        <v>-50.94</v>
      </c>
      <c r="E93" t="s">
        <v>240</v>
      </c>
      <c r="F93" t="e">
        <f t="shared" si="10"/>
        <v>#N/A</v>
      </c>
      <c r="G93" t="e">
        <f t="shared" si="11"/>
        <v>#N/A</v>
      </c>
      <c r="H93" t="e">
        <f t="shared" si="12"/>
        <v>#N/A</v>
      </c>
      <c r="I93">
        <f t="shared" si="13"/>
        <v>-50.94</v>
      </c>
      <c r="S93" s="1">
        <v>50.94</v>
      </c>
    </row>
    <row r="94" spans="1:19" x14ac:dyDescent="0.3">
      <c r="A94" s="1">
        <v>93</v>
      </c>
      <c r="B94" s="1" t="s">
        <v>185</v>
      </c>
      <c r="C94" t="s">
        <v>186</v>
      </c>
      <c r="D94" s="1">
        <v>-45.85</v>
      </c>
      <c r="E94" t="s">
        <v>240</v>
      </c>
      <c r="F94" t="e">
        <f t="shared" si="10"/>
        <v>#N/A</v>
      </c>
      <c r="G94" t="e">
        <f t="shared" si="11"/>
        <v>#N/A</v>
      </c>
      <c r="H94" t="e">
        <f t="shared" si="12"/>
        <v>#N/A</v>
      </c>
      <c r="I94">
        <f t="shared" si="13"/>
        <v>-45.85</v>
      </c>
      <c r="S94" s="1">
        <v>45.85</v>
      </c>
    </row>
    <row r="95" spans="1:19" x14ac:dyDescent="0.3">
      <c r="A95" s="1">
        <v>94</v>
      </c>
      <c r="B95" s="1" t="s">
        <v>187</v>
      </c>
      <c r="C95" t="s">
        <v>188</v>
      </c>
      <c r="D95" s="1">
        <v>48.33</v>
      </c>
      <c r="E95" t="s">
        <v>240</v>
      </c>
      <c r="F95" t="e">
        <f t="shared" si="10"/>
        <v>#N/A</v>
      </c>
      <c r="G95" t="e">
        <f t="shared" si="11"/>
        <v>#N/A</v>
      </c>
      <c r="H95" t="e">
        <f t="shared" si="12"/>
        <v>#N/A</v>
      </c>
      <c r="I95">
        <f t="shared" si="13"/>
        <v>48.33</v>
      </c>
      <c r="S95" s="1">
        <v>-48.33</v>
      </c>
    </row>
    <row r="96" spans="1:19" x14ac:dyDescent="0.3">
      <c r="A96" s="1">
        <v>95</v>
      </c>
      <c r="B96" s="1" t="s">
        <v>189</v>
      </c>
      <c r="C96" t="s">
        <v>190</v>
      </c>
      <c r="D96" s="1">
        <v>-9.93</v>
      </c>
      <c r="E96" t="s">
        <v>240</v>
      </c>
      <c r="F96" t="e">
        <f t="shared" si="10"/>
        <v>#N/A</v>
      </c>
      <c r="G96" t="e">
        <f t="shared" si="11"/>
        <v>#N/A</v>
      </c>
      <c r="H96" t="e">
        <f t="shared" si="12"/>
        <v>#N/A</v>
      </c>
      <c r="I96">
        <f t="shared" si="13"/>
        <v>-9.93</v>
      </c>
      <c r="S96" s="1">
        <v>9.93</v>
      </c>
    </row>
    <row r="97" spans="1:19" x14ac:dyDescent="0.3">
      <c r="A97" s="1">
        <v>96</v>
      </c>
      <c r="B97" s="1" t="s">
        <v>191</v>
      </c>
      <c r="C97" t="s">
        <v>192</v>
      </c>
      <c r="D97" s="1">
        <v>-27.17</v>
      </c>
      <c r="E97" t="s">
        <v>240</v>
      </c>
      <c r="F97" t="e">
        <f t="shared" si="10"/>
        <v>#N/A</v>
      </c>
      <c r="G97" t="e">
        <f t="shared" si="11"/>
        <v>#N/A</v>
      </c>
      <c r="H97" t="e">
        <f t="shared" si="12"/>
        <v>#N/A</v>
      </c>
      <c r="I97">
        <f t="shared" si="13"/>
        <v>-27.17</v>
      </c>
      <c r="S97" s="1">
        <v>27.17</v>
      </c>
    </row>
    <row r="98" spans="1:19" x14ac:dyDescent="0.3">
      <c r="A98" s="1">
        <v>97</v>
      </c>
      <c r="B98" s="1" t="s">
        <v>193</v>
      </c>
      <c r="C98" t="s">
        <v>194</v>
      </c>
      <c r="D98" s="1">
        <v>165.24</v>
      </c>
      <c r="E98" t="s">
        <v>240</v>
      </c>
      <c r="F98" t="e">
        <f t="shared" ref="F98:F119" si="14">IF($E98=F$1,IF($D98="","",$D98),NA())</f>
        <v>#N/A</v>
      </c>
      <c r="G98" t="e">
        <f t="shared" ref="G98:G119" si="15">IF($E98=G$1,IF($D98="","",$D98),NA())</f>
        <v>#N/A</v>
      </c>
      <c r="H98" t="e">
        <f t="shared" ref="H98:H119" si="16">IF($E98=H$1,IF($D98="","",$D98),NA())</f>
        <v>#N/A</v>
      </c>
      <c r="I98">
        <f t="shared" si="13"/>
        <v>165.24</v>
      </c>
      <c r="S98" s="1">
        <v>-165.24</v>
      </c>
    </row>
    <row r="99" spans="1:19" x14ac:dyDescent="0.3">
      <c r="A99" s="1">
        <v>98</v>
      </c>
      <c r="B99" s="1" t="s">
        <v>195</v>
      </c>
      <c r="C99" t="s">
        <v>196</v>
      </c>
      <c r="D99" s="1">
        <v>97.31</v>
      </c>
      <c r="E99" t="s">
        <v>240</v>
      </c>
      <c r="F99" t="e">
        <f t="shared" si="14"/>
        <v>#N/A</v>
      </c>
      <c r="G99" t="e">
        <f t="shared" si="15"/>
        <v>#N/A</v>
      </c>
      <c r="H99" t="e">
        <f t="shared" si="16"/>
        <v>#N/A</v>
      </c>
      <c r="I99">
        <f t="shared" si="13"/>
        <v>97.31</v>
      </c>
      <c r="S99" s="1">
        <v>-97.31</v>
      </c>
    </row>
    <row r="100" spans="1:19" x14ac:dyDescent="0.3">
      <c r="A100" s="1">
        <v>99</v>
      </c>
      <c r="B100" s="1" t="s">
        <v>197</v>
      </c>
      <c r="C100" t="s">
        <v>198</v>
      </c>
      <c r="D100" s="1">
        <v>28.6</v>
      </c>
      <c r="E100" t="s">
        <v>240</v>
      </c>
      <c r="F100" t="e">
        <f t="shared" si="14"/>
        <v>#N/A</v>
      </c>
      <c r="G100" t="e">
        <f t="shared" si="15"/>
        <v>#N/A</v>
      </c>
      <c r="H100" t="e">
        <f t="shared" si="16"/>
        <v>#N/A</v>
      </c>
      <c r="I100">
        <f t="shared" si="13"/>
        <v>28.6</v>
      </c>
      <c r="S100" s="1">
        <v>-28.6</v>
      </c>
    </row>
    <row r="101" spans="1:19" x14ac:dyDescent="0.3">
      <c r="A101" s="1">
        <v>100</v>
      </c>
      <c r="B101" s="1" t="s">
        <v>199</v>
      </c>
      <c r="C101" t="s">
        <v>200</v>
      </c>
      <c r="D101" s="1">
        <v>-33.96</v>
      </c>
      <c r="E101" t="s">
        <v>240</v>
      </c>
      <c r="F101" t="e">
        <f t="shared" si="14"/>
        <v>#N/A</v>
      </c>
      <c r="G101" t="e">
        <f t="shared" si="15"/>
        <v>#N/A</v>
      </c>
      <c r="H101" t="e">
        <f t="shared" si="16"/>
        <v>#N/A</v>
      </c>
      <c r="I101">
        <f t="shared" si="13"/>
        <v>-33.96</v>
      </c>
      <c r="S101" s="1">
        <v>33.96</v>
      </c>
    </row>
    <row r="102" spans="1:19" x14ac:dyDescent="0.3">
      <c r="A102" s="1">
        <v>101</v>
      </c>
      <c r="B102" s="1" t="s">
        <v>201</v>
      </c>
      <c r="C102" t="s">
        <v>202</v>
      </c>
      <c r="D102" s="1">
        <v>-93.91</v>
      </c>
      <c r="E102" t="s">
        <v>240</v>
      </c>
      <c r="F102" t="e">
        <f t="shared" si="14"/>
        <v>#N/A</v>
      </c>
      <c r="G102" t="e">
        <f t="shared" si="15"/>
        <v>#N/A</v>
      </c>
      <c r="H102" t="e">
        <f t="shared" si="16"/>
        <v>#N/A</v>
      </c>
      <c r="I102">
        <f t="shared" ref="I102:I119" si="17">IF($E102=I$1,IF($D102="","",$D102),"")</f>
        <v>-93.91</v>
      </c>
      <c r="S102" s="1">
        <v>93.91</v>
      </c>
    </row>
    <row r="103" spans="1:19" x14ac:dyDescent="0.3">
      <c r="A103" s="1">
        <v>102</v>
      </c>
      <c r="B103" s="1" t="s">
        <v>203</v>
      </c>
      <c r="C103" t="s">
        <v>204</v>
      </c>
      <c r="D103" s="1">
        <v>223.22</v>
      </c>
      <c r="E103" t="s">
        <v>240</v>
      </c>
      <c r="F103" t="e">
        <f t="shared" si="14"/>
        <v>#N/A</v>
      </c>
      <c r="G103" t="e">
        <f t="shared" si="15"/>
        <v>#N/A</v>
      </c>
      <c r="H103" t="e">
        <f t="shared" si="16"/>
        <v>#N/A</v>
      </c>
      <c r="I103">
        <f t="shared" si="17"/>
        <v>223.22</v>
      </c>
      <c r="S103" s="1">
        <v>-223.22</v>
      </c>
    </row>
    <row r="104" spans="1:19" x14ac:dyDescent="0.3">
      <c r="A104" s="1">
        <v>103</v>
      </c>
      <c r="B104" s="1" t="s">
        <v>205</v>
      </c>
      <c r="C104" t="s">
        <v>206</v>
      </c>
      <c r="D104" s="1">
        <v>30.04</v>
      </c>
      <c r="E104" t="s">
        <v>239</v>
      </c>
      <c r="F104" t="e">
        <f t="shared" si="14"/>
        <v>#N/A</v>
      </c>
      <c r="G104" t="e">
        <f t="shared" si="15"/>
        <v>#N/A</v>
      </c>
      <c r="H104">
        <f t="shared" si="16"/>
        <v>30.04</v>
      </c>
      <c r="I104" t="str">
        <f t="shared" si="17"/>
        <v/>
      </c>
      <c r="S104" s="1">
        <v>-30.04</v>
      </c>
    </row>
    <row r="105" spans="1:19" x14ac:dyDescent="0.3">
      <c r="A105" s="1">
        <v>104</v>
      </c>
      <c r="B105" s="1" t="s">
        <v>207</v>
      </c>
      <c r="C105" t="s">
        <v>208</v>
      </c>
      <c r="D105" s="1">
        <v>0</v>
      </c>
      <c r="E105" t="s">
        <v>239</v>
      </c>
      <c r="F105" t="e">
        <f t="shared" si="14"/>
        <v>#N/A</v>
      </c>
      <c r="G105" t="e">
        <f t="shared" si="15"/>
        <v>#N/A</v>
      </c>
      <c r="H105">
        <f t="shared" si="16"/>
        <v>0</v>
      </c>
      <c r="I105" t="str">
        <f t="shared" si="17"/>
        <v/>
      </c>
    </row>
    <row r="106" spans="1:19" x14ac:dyDescent="0.3">
      <c r="A106" s="1">
        <v>105</v>
      </c>
      <c r="B106" s="1" t="s">
        <v>209</v>
      </c>
      <c r="C106" t="s">
        <v>210</v>
      </c>
      <c r="D106" s="1">
        <v>0</v>
      </c>
      <c r="E106" t="s">
        <v>239</v>
      </c>
      <c r="F106" t="e">
        <f t="shared" si="14"/>
        <v>#N/A</v>
      </c>
      <c r="G106" t="e">
        <f t="shared" si="15"/>
        <v>#N/A</v>
      </c>
      <c r="H106">
        <f t="shared" si="16"/>
        <v>0</v>
      </c>
      <c r="I106" t="str">
        <f t="shared" si="17"/>
        <v/>
      </c>
    </row>
    <row r="107" spans="1:19" x14ac:dyDescent="0.3">
      <c r="A107" s="1">
        <v>106</v>
      </c>
      <c r="B107" s="1" t="s">
        <v>211</v>
      </c>
      <c r="C107" t="s">
        <v>212</v>
      </c>
      <c r="D107" s="1">
        <v>0</v>
      </c>
      <c r="E107" t="s">
        <v>239</v>
      </c>
      <c r="F107" t="e">
        <f t="shared" si="14"/>
        <v>#N/A</v>
      </c>
      <c r="G107" t="e">
        <f t="shared" si="15"/>
        <v>#N/A</v>
      </c>
      <c r="H107">
        <f t="shared" si="16"/>
        <v>0</v>
      </c>
      <c r="I107" t="str">
        <f t="shared" si="17"/>
        <v/>
      </c>
    </row>
    <row r="108" spans="1:19" x14ac:dyDescent="0.3">
      <c r="A108" s="1">
        <v>107</v>
      </c>
      <c r="B108" s="1" t="s">
        <v>213</v>
      </c>
      <c r="C108" t="s">
        <v>214</v>
      </c>
      <c r="D108" s="1">
        <v>0</v>
      </c>
      <c r="E108" t="s">
        <v>239</v>
      </c>
      <c r="F108" t="e">
        <f t="shared" si="14"/>
        <v>#N/A</v>
      </c>
      <c r="G108" t="e">
        <f t="shared" si="15"/>
        <v>#N/A</v>
      </c>
      <c r="H108">
        <f t="shared" si="16"/>
        <v>0</v>
      </c>
      <c r="I108" t="str">
        <f t="shared" si="17"/>
        <v/>
      </c>
    </row>
    <row r="109" spans="1:19" x14ac:dyDescent="0.3">
      <c r="A109" s="1">
        <v>108</v>
      </c>
      <c r="B109" s="1" t="s">
        <v>215</v>
      </c>
      <c r="C109" t="s">
        <v>216</v>
      </c>
      <c r="D109" s="1">
        <v>0</v>
      </c>
      <c r="E109" t="s">
        <v>239</v>
      </c>
      <c r="F109" t="e">
        <f t="shared" si="14"/>
        <v>#N/A</v>
      </c>
      <c r="G109" t="e">
        <f t="shared" si="15"/>
        <v>#N/A</v>
      </c>
      <c r="H109">
        <f t="shared" si="16"/>
        <v>0</v>
      </c>
      <c r="I109" t="str">
        <f t="shared" si="17"/>
        <v/>
      </c>
    </row>
    <row r="110" spans="1:19" x14ac:dyDescent="0.3">
      <c r="A110" s="1">
        <v>109</v>
      </c>
      <c r="B110" s="1" t="s">
        <v>217</v>
      </c>
      <c r="C110" t="s">
        <v>218</v>
      </c>
      <c r="D110" s="1">
        <v>0</v>
      </c>
      <c r="E110" t="s">
        <v>239</v>
      </c>
      <c r="F110" t="e">
        <f t="shared" si="14"/>
        <v>#N/A</v>
      </c>
      <c r="G110" t="e">
        <f t="shared" si="15"/>
        <v>#N/A</v>
      </c>
      <c r="H110">
        <f t="shared" si="16"/>
        <v>0</v>
      </c>
      <c r="I110" t="str">
        <f t="shared" si="17"/>
        <v/>
      </c>
    </row>
    <row r="111" spans="1:19" x14ac:dyDescent="0.3">
      <c r="A111" s="1">
        <v>110</v>
      </c>
      <c r="B111" s="1" t="s">
        <v>219</v>
      </c>
      <c r="C111" t="s">
        <v>220</v>
      </c>
      <c r="D111" s="1">
        <v>0</v>
      </c>
      <c r="E111" t="s">
        <v>239</v>
      </c>
      <c r="F111" t="e">
        <f t="shared" si="14"/>
        <v>#N/A</v>
      </c>
      <c r="G111" t="e">
        <f t="shared" si="15"/>
        <v>#N/A</v>
      </c>
      <c r="H111">
        <f t="shared" si="16"/>
        <v>0</v>
      </c>
      <c r="I111" t="str">
        <f t="shared" si="17"/>
        <v/>
      </c>
    </row>
    <row r="112" spans="1:19" x14ac:dyDescent="0.3">
      <c r="A112" s="1">
        <v>111</v>
      </c>
      <c r="B112" s="1" t="s">
        <v>221</v>
      </c>
      <c r="C112" t="s">
        <v>222</v>
      </c>
      <c r="D112" s="1">
        <v>-151</v>
      </c>
      <c r="E112" t="s">
        <v>239</v>
      </c>
      <c r="F112" t="e">
        <f t="shared" si="14"/>
        <v>#N/A</v>
      </c>
      <c r="G112" t="e">
        <f t="shared" si="15"/>
        <v>#N/A</v>
      </c>
      <c r="H112">
        <f t="shared" si="16"/>
        <v>-151</v>
      </c>
      <c r="I112" t="str">
        <f t="shared" si="17"/>
        <v/>
      </c>
      <c r="S112" s="1">
        <v>151</v>
      </c>
    </row>
    <row r="113" spans="1:19" x14ac:dyDescent="0.3">
      <c r="A113" s="1">
        <v>112</v>
      </c>
      <c r="B113" s="1" t="s">
        <v>223</v>
      </c>
      <c r="C113" t="s">
        <v>224</v>
      </c>
      <c r="D113" s="1">
        <v>0</v>
      </c>
      <c r="E113" t="s">
        <v>239</v>
      </c>
      <c r="F113" t="e">
        <f t="shared" si="14"/>
        <v>#N/A</v>
      </c>
      <c r="G113" t="e">
        <f t="shared" si="15"/>
        <v>#N/A</v>
      </c>
      <c r="H113">
        <f t="shared" si="16"/>
        <v>0</v>
      </c>
      <c r="I113" t="str">
        <f t="shared" si="17"/>
        <v/>
      </c>
    </row>
    <row r="114" spans="1:19" x14ac:dyDescent="0.3">
      <c r="A114" s="1">
        <v>113</v>
      </c>
      <c r="B114" s="1" t="s">
        <v>225</v>
      </c>
      <c r="C114" t="s">
        <v>226</v>
      </c>
      <c r="D114" s="1">
        <v>-66.599999999999994</v>
      </c>
      <c r="E114" t="s">
        <v>238</v>
      </c>
      <c r="F114" t="e">
        <f t="shared" si="14"/>
        <v>#N/A</v>
      </c>
      <c r="G114">
        <f t="shared" si="15"/>
        <v>-66.599999999999994</v>
      </c>
      <c r="H114" t="e">
        <f t="shared" si="16"/>
        <v>#N/A</v>
      </c>
      <c r="I114" t="str">
        <f t="shared" si="17"/>
        <v/>
      </c>
      <c r="S114" s="1">
        <v>66.599999999999994</v>
      </c>
    </row>
    <row r="115" spans="1:19" x14ac:dyDescent="0.3">
      <c r="A115" s="1">
        <v>114</v>
      </c>
      <c r="B115" s="1" t="s">
        <v>227</v>
      </c>
      <c r="C115" t="s">
        <v>228</v>
      </c>
      <c r="D115" s="1">
        <v>0</v>
      </c>
      <c r="E115" t="s">
        <v>238</v>
      </c>
      <c r="F115" t="e">
        <f t="shared" si="14"/>
        <v>#N/A</v>
      </c>
      <c r="G115">
        <f t="shared" si="15"/>
        <v>0</v>
      </c>
      <c r="H115" t="e">
        <f t="shared" si="16"/>
        <v>#N/A</v>
      </c>
      <c r="I115" t="str">
        <f t="shared" si="17"/>
        <v/>
      </c>
    </row>
    <row r="116" spans="1:19" x14ac:dyDescent="0.3">
      <c r="A116" s="1">
        <v>115</v>
      </c>
      <c r="B116" s="1" t="s">
        <v>229</v>
      </c>
      <c r="C116" t="s">
        <v>230</v>
      </c>
      <c r="D116" s="1">
        <v>-35.5</v>
      </c>
      <c r="E116" t="s">
        <v>238</v>
      </c>
      <c r="F116" t="e">
        <f t="shared" si="14"/>
        <v>#N/A</v>
      </c>
      <c r="G116">
        <f t="shared" si="15"/>
        <v>-35.5</v>
      </c>
      <c r="H116" t="e">
        <f t="shared" si="16"/>
        <v>#N/A</v>
      </c>
      <c r="I116" t="str">
        <f t="shared" si="17"/>
        <v/>
      </c>
      <c r="S116" s="1">
        <v>35.5</v>
      </c>
    </row>
    <row r="117" spans="1:19" x14ac:dyDescent="0.3">
      <c r="A117" s="1">
        <v>116</v>
      </c>
      <c r="B117" s="1" t="s">
        <v>231</v>
      </c>
      <c r="C117" t="s">
        <v>232</v>
      </c>
      <c r="D117" s="1">
        <v>-74.900000000000006</v>
      </c>
      <c r="E117" t="s">
        <v>238</v>
      </c>
      <c r="F117" t="e">
        <f t="shared" si="14"/>
        <v>#N/A</v>
      </c>
      <c r="G117">
        <f t="shared" si="15"/>
        <v>-74.900000000000006</v>
      </c>
      <c r="H117" t="e">
        <f t="shared" si="16"/>
        <v>#N/A</v>
      </c>
      <c r="I117" t="str">
        <f t="shared" si="17"/>
        <v/>
      </c>
      <c r="S117" s="1">
        <v>74.900000000000006</v>
      </c>
    </row>
    <row r="118" spans="1:19" x14ac:dyDescent="0.3">
      <c r="A118" s="1">
        <v>117</v>
      </c>
      <c r="B118" s="1" t="s">
        <v>233</v>
      </c>
      <c r="C118" t="s">
        <v>234</v>
      </c>
      <c r="D118" s="1">
        <v>-165.9</v>
      </c>
      <c r="E118" t="s">
        <v>238</v>
      </c>
      <c r="F118" t="e">
        <f t="shared" si="14"/>
        <v>#N/A</v>
      </c>
      <c r="G118">
        <f t="shared" si="15"/>
        <v>-165.9</v>
      </c>
      <c r="H118" t="e">
        <f t="shared" si="16"/>
        <v>#N/A</v>
      </c>
      <c r="I118" t="str">
        <f t="shared" si="17"/>
        <v/>
      </c>
      <c r="S118" s="1">
        <v>165.9</v>
      </c>
    </row>
    <row r="119" spans="1:19" x14ac:dyDescent="0.3">
      <c r="A119" s="1">
        <v>118</v>
      </c>
      <c r="B119" s="1" t="s">
        <v>235</v>
      </c>
      <c r="C119" t="s">
        <v>236</v>
      </c>
      <c r="D119" s="1">
        <v>-5.4029999999999996</v>
      </c>
      <c r="E119" t="s">
        <v>238</v>
      </c>
      <c r="F119" t="e">
        <f t="shared" si="14"/>
        <v>#N/A</v>
      </c>
      <c r="G119">
        <f t="shared" si="15"/>
        <v>-5.4029999999999996</v>
      </c>
      <c r="H119" t="e">
        <f t="shared" si="16"/>
        <v>#N/A</v>
      </c>
      <c r="I119" t="str">
        <f t="shared" si="17"/>
        <v/>
      </c>
      <c r="S119" s="1">
        <v>5.4029999999999996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7172-3366-4AD1-B4A6-8FCFE48A656F}">
  <dimension ref="A1:AB119"/>
  <sheetViews>
    <sheetView topLeftCell="A50" zoomScale="99" zoomScaleNormal="70" workbookViewId="0">
      <selection activeCell="J40" sqref="J40"/>
    </sheetView>
  </sheetViews>
  <sheetFormatPr defaultRowHeight="14.4" x14ac:dyDescent="0.3"/>
  <cols>
    <col min="1" max="2" width="8.88671875" style="1"/>
    <col min="4" max="4" width="8.88671875" style="1"/>
    <col min="17" max="17" width="10.5546875" bestFit="1" customWidth="1"/>
    <col min="20" max="20" width="10.5546875" bestFit="1" customWidth="1"/>
    <col min="23" max="23" width="10.5546875" bestFit="1" customWidth="1"/>
    <col min="26" max="26" width="10.6640625" bestFit="1" customWidth="1"/>
  </cols>
  <sheetData>
    <row r="1" spans="1:28" x14ac:dyDescent="0.3">
      <c r="A1" s="1" t="s">
        <v>242</v>
      </c>
      <c r="B1" s="1" t="s">
        <v>243</v>
      </c>
      <c r="C1" t="s">
        <v>245</v>
      </c>
      <c r="D1" s="1" t="s">
        <v>241</v>
      </c>
      <c r="E1" t="s">
        <v>245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247</v>
      </c>
      <c r="Q1" t="s">
        <v>242</v>
      </c>
      <c r="R1" t="s">
        <v>243</v>
      </c>
      <c r="S1" t="s">
        <v>237</v>
      </c>
      <c r="T1" t="s">
        <v>242</v>
      </c>
      <c r="U1" t="s">
        <v>243</v>
      </c>
      <c r="V1" t="s">
        <v>238</v>
      </c>
      <c r="W1" t="s">
        <v>242</v>
      </c>
      <c r="X1" t="s">
        <v>243</v>
      </c>
      <c r="Y1" t="s">
        <v>239</v>
      </c>
      <c r="Z1" t="s">
        <v>242</v>
      </c>
      <c r="AA1" t="s">
        <v>243</v>
      </c>
      <c r="AB1" t="s">
        <v>240</v>
      </c>
    </row>
    <row r="2" spans="1:28" x14ac:dyDescent="0.3">
      <c r="A2" s="1">
        <v>1</v>
      </c>
      <c r="B2" s="1" t="s">
        <v>0</v>
      </c>
      <c r="C2" t="s">
        <v>1</v>
      </c>
      <c r="D2" s="1">
        <v>13.598000000000001</v>
      </c>
      <c r="E2" t="s">
        <v>237</v>
      </c>
      <c r="F2">
        <f t="shared" ref="F2:I21" si="0">IF($E2=F$1,IF($D2="",-1,$D2),-1)</f>
        <v>13.598000000000001</v>
      </c>
      <c r="G2">
        <f t="shared" si="0"/>
        <v>-1</v>
      </c>
      <c r="H2">
        <f t="shared" si="0"/>
        <v>-1</v>
      </c>
      <c r="I2">
        <f t="shared" si="0"/>
        <v>-1</v>
      </c>
      <c r="J2" t="s">
        <v>0</v>
      </c>
      <c r="Q2" cm="1">
        <f t="array" ref="Q2:Q15">_xlfn._xlws.FILTER($A:$A,$E:$E=S$1)</f>
        <v>1</v>
      </c>
      <c r="R2" t="str" cm="1">
        <f t="array" ref="R2:R15">_xlfn._xlws.FILTER($B:$B,$E:$E=S$1)</f>
        <v>H</v>
      </c>
      <c r="S2" cm="1">
        <f t="array" ref="S2:S15">_xlfn._xlws.FILTER($D:$D,$E:$E=S$1)</f>
        <v>13.598000000000001</v>
      </c>
      <c r="T2" cm="1">
        <f t="array" ref="T2:T37">_xlfn._xlws.FILTER($A:$A,$E:$E=V$1)</f>
        <v>5</v>
      </c>
      <c r="U2" t="str" cm="1">
        <f t="array" ref="U2:U37">_xlfn._xlws.FILTER($B:$B,$E:$E=V$1)</f>
        <v>B</v>
      </c>
      <c r="V2" cm="1">
        <f t="array" ref="V2:V37">_xlfn._xlws.FILTER($D:$D,$E:$E=V$1)</f>
        <v>8.298</v>
      </c>
      <c r="W2" cm="1">
        <f t="array" ref="W2:W41">_xlfn._xlws.FILTER($A:$A,$E:$E=Y$1)</f>
        <v>21</v>
      </c>
      <c r="X2" t="str" cm="1">
        <f t="array" ref="X2:X41">_xlfn._xlws.FILTER($B:$B,$E:$E=Y$1)</f>
        <v>Sc</v>
      </c>
      <c r="Y2" cm="1">
        <f t="array" ref="Y2:Y41">_xlfn._xlws.FILTER($D:$D,$E:$E=Y$1)</f>
        <v>6.5609999999999999</v>
      </c>
      <c r="Z2" cm="1">
        <f t="array" ref="Z2:Z29">_xlfn._xlws.FILTER($A:$A,$E:$E=AB$1)</f>
        <v>57</v>
      </c>
      <c r="AA2" t="str" cm="1">
        <f t="array" ref="AA2:AA29">_xlfn._xlws.FILTER($B:$B,$E:$E=AB$1)</f>
        <v>La</v>
      </c>
      <c r="AB2" cm="1">
        <f t="array" ref="AB2:AB29">_xlfn._xlws.FILTER($D:$D,$E:$E=AB$1)</f>
        <v>5.577</v>
      </c>
    </row>
    <row r="3" spans="1:28" x14ac:dyDescent="0.3">
      <c r="A3" s="1">
        <v>2</v>
      </c>
      <c r="B3" s="1" t="s">
        <v>2</v>
      </c>
      <c r="C3" t="s">
        <v>3</v>
      </c>
      <c r="D3" s="1">
        <v>24.587</v>
      </c>
      <c r="E3" t="s">
        <v>237</v>
      </c>
      <c r="F3">
        <f t="shared" si="0"/>
        <v>24.587</v>
      </c>
      <c r="G3">
        <f t="shared" si="0"/>
        <v>-1</v>
      </c>
      <c r="H3">
        <f t="shared" si="0"/>
        <v>-1</v>
      </c>
      <c r="I3">
        <f t="shared" si="0"/>
        <v>-1</v>
      </c>
      <c r="J3" t="s">
        <v>2</v>
      </c>
      <c r="Q3">
        <v>2</v>
      </c>
      <c r="R3" t="str">
        <v>He</v>
      </c>
      <c r="S3">
        <v>24.587</v>
      </c>
      <c r="T3">
        <v>6</v>
      </c>
      <c r="U3" t="str">
        <v>C</v>
      </c>
      <c r="V3">
        <v>11.26</v>
      </c>
      <c r="W3">
        <v>22</v>
      </c>
      <c r="X3" t="str">
        <v>Ti</v>
      </c>
      <c r="Y3">
        <v>6.8280000000000003</v>
      </c>
      <c r="Z3">
        <v>58</v>
      </c>
      <c r="AA3" t="str">
        <v>Ce</v>
      </c>
      <c r="AB3">
        <v>5.5389999999999997</v>
      </c>
    </row>
    <row r="4" spans="1:28" x14ac:dyDescent="0.3">
      <c r="A4" s="1">
        <v>3</v>
      </c>
      <c r="B4" s="1" t="s">
        <v>5</v>
      </c>
      <c r="C4" t="s">
        <v>6</v>
      </c>
      <c r="D4" s="1">
        <v>5.3920000000000003</v>
      </c>
      <c r="E4" t="s">
        <v>237</v>
      </c>
      <c r="F4">
        <f t="shared" si="0"/>
        <v>5.3920000000000003</v>
      </c>
      <c r="G4">
        <f t="shared" si="0"/>
        <v>-1</v>
      </c>
      <c r="H4">
        <f t="shared" si="0"/>
        <v>-1</v>
      </c>
      <c r="I4">
        <f t="shared" si="0"/>
        <v>-1</v>
      </c>
      <c r="J4" t="s">
        <v>5</v>
      </c>
      <c r="Q4">
        <v>3</v>
      </c>
      <c r="R4" t="str">
        <v>Li</v>
      </c>
      <c r="S4">
        <v>5.3920000000000003</v>
      </c>
      <c r="T4">
        <v>7</v>
      </c>
      <c r="U4" t="str">
        <v>N</v>
      </c>
      <c r="V4">
        <v>14.534000000000001</v>
      </c>
      <c r="W4">
        <v>23</v>
      </c>
      <c r="X4" t="str">
        <v>V</v>
      </c>
      <c r="Y4">
        <v>6.7460000000000004</v>
      </c>
      <c r="Z4">
        <v>59</v>
      </c>
      <c r="AA4" t="str">
        <v>Pr</v>
      </c>
      <c r="AB4">
        <v>5.4640000000000004</v>
      </c>
    </row>
    <row r="5" spans="1:28" x14ac:dyDescent="0.3">
      <c r="A5" s="1">
        <v>4</v>
      </c>
      <c r="B5" s="1" t="s">
        <v>7</v>
      </c>
      <c r="C5" t="s">
        <v>8</v>
      </c>
      <c r="D5" s="1">
        <v>9.3230000000000004</v>
      </c>
      <c r="E5" t="s">
        <v>237</v>
      </c>
      <c r="F5">
        <f t="shared" si="0"/>
        <v>9.3230000000000004</v>
      </c>
      <c r="G5">
        <f t="shared" si="0"/>
        <v>-1</v>
      </c>
      <c r="H5">
        <f t="shared" si="0"/>
        <v>-1</v>
      </c>
      <c r="I5">
        <f t="shared" si="0"/>
        <v>-1</v>
      </c>
      <c r="Q5">
        <v>4</v>
      </c>
      <c r="R5" t="str">
        <v>Be</v>
      </c>
      <c r="S5">
        <v>9.3230000000000004</v>
      </c>
      <c r="T5">
        <v>8</v>
      </c>
      <c r="U5" t="str">
        <v>O</v>
      </c>
      <c r="V5">
        <v>13.618</v>
      </c>
      <c r="W5">
        <v>24</v>
      </c>
      <c r="X5" t="str">
        <v>Cr</v>
      </c>
      <c r="Y5">
        <v>6.7670000000000003</v>
      </c>
      <c r="Z5">
        <v>60</v>
      </c>
      <c r="AA5" t="str">
        <v>Nd</v>
      </c>
      <c r="AB5">
        <v>5.5250000000000004</v>
      </c>
    </row>
    <row r="6" spans="1:28" x14ac:dyDescent="0.3">
      <c r="A6" s="1">
        <v>5</v>
      </c>
      <c r="B6" s="1" t="s">
        <v>9</v>
      </c>
      <c r="C6" t="s">
        <v>10</v>
      </c>
      <c r="D6" s="1">
        <v>8.298</v>
      </c>
      <c r="E6" t="s">
        <v>238</v>
      </c>
      <c r="F6">
        <v>-10</v>
      </c>
      <c r="G6">
        <f t="shared" si="0"/>
        <v>8.298</v>
      </c>
      <c r="H6">
        <f t="shared" si="0"/>
        <v>-1</v>
      </c>
      <c r="I6">
        <f t="shared" si="0"/>
        <v>-1</v>
      </c>
      <c r="Q6">
        <v>11</v>
      </c>
      <c r="R6" t="str">
        <v>Na</v>
      </c>
      <c r="S6">
        <v>5.1390000000000002</v>
      </c>
      <c r="T6">
        <v>9</v>
      </c>
      <c r="U6" t="str">
        <v>F</v>
      </c>
      <c r="V6">
        <v>17.422999999999998</v>
      </c>
      <c r="W6">
        <v>25</v>
      </c>
      <c r="X6" t="str">
        <v>Mn</v>
      </c>
      <c r="Y6">
        <v>7.4340000000000002</v>
      </c>
      <c r="Z6">
        <v>61</v>
      </c>
      <c r="AA6" t="str">
        <v>Pm</v>
      </c>
      <c r="AB6">
        <v>5.55</v>
      </c>
    </row>
    <row r="7" spans="1:28" x14ac:dyDescent="0.3">
      <c r="A7" s="1">
        <v>6</v>
      </c>
      <c r="B7" s="1" t="s">
        <v>11</v>
      </c>
      <c r="C7" t="s">
        <v>12</v>
      </c>
      <c r="D7" s="1">
        <v>11.26</v>
      </c>
      <c r="E7" t="s">
        <v>238</v>
      </c>
      <c r="F7">
        <f t="shared" si="0"/>
        <v>-1</v>
      </c>
      <c r="G7">
        <f t="shared" si="0"/>
        <v>11.26</v>
      </c>
      <c r="H7">
        <f t="shared" si="0"/>
        <v>-1</v>
      </c>
      <c r="I7">
        <f t="shared" si="0"/>
        <v>-1</v>
      </c>
      <c r="Q7">
        <v>12</v>
      </c>
      <c r="R7" t="str">
        <v>Mg</v>
      </c>
      <c r="S7">
        <v>7.6459999999999999</v>
      </c>
      <c r="T7">
        <v>10</v>
      </c>
      <c r="U7" t="str">
        <v>Ne</v>
      </c>
      <c r="V7">
        <v>21.565000000000001</v>
      </c>
      <c r="W7">
        <v>26</v>
      </c>
      <c r="X7" t="str">
        <v>Fe</v>
      </c>
      <c r="Y7">
        <v>7.9020000000000001</v>
      </c>
      <c r="Z7">
        <v>62</v>
      </c>
      <c r="AA7" t="str">
        <v>Sm</v>
      </c>
      <c r="AB7">
        <v>5.6440000000000001</v>
      </c>
    </row>
    <row r="8" spans="1:28" x14ac:dyDescent="0.3">
      <c r="A8" s="1">
        <v>7</v>
      </c>
      <c r="B8" s="1" t="s">
        <v>13</v>
      </c>
      <c r="C8" t="s">
        <v>14</v>
      </c>
      <c r="D8" s="1">
        <v>14.534000000000001</v>
      </c>
      <c r="E8" t="s">
        <v>238</v>
      </c>
      <c r="F8">
        <f t="shared" si="0"/>
        <v>-1</v>
      </c>
      <c r="G8">
        <f t="shared" si="0"/>
        <v>14.534000000000001</v>
      </c>
      <c r="H8">
        <f t="shared" si="0"/>
        <v>-1</v>
      </c>
      <c r="I8">
        <f t="shared" si="0"/>
        <v>-1</v>
      </c>
      <c r="J8" t="s">
        <v>13</v>
      </c>
      <c r="Q8">
        <v>19</v>
      </c>
      <c r="R8" t="str">
        <v>K</v>
      </c>
      <c r="S8">
        <v>4.3410000000000002</v>
      </c>
      <c r="T8">
        <v>13</v>
      </c>
      <c r="U8" t="str">
        <v>Al</v>
      </c>
      <c r="V8">
        <v>5.9859999999999998</v>
      </c>
      <c r="W8">
        <v>27</v>
      </c>
      <c r="X8" t="str">
        <v>Co</v>
      </c>
      <c r="Y8">
        <v>7.8810000000000002</v>
      </c>
      <c r="Z8">
        <v>63</v>
      </c>
      <c r="AA8" t="str">
        <v>Eu</v>
      </c>
      <c r="AB8">
        <v>5.67</v>
      </c>
    </row>
    <row r="9" spans="1:28" x14ac:dyDescent="0.3">
      <c r="A9" s="1">
        <v>8</v>
      </c>
      <c r="B9" s="1" t="s">
        <v>15</v>
      </c>
      <c r="C9" t="s">
        <v>16</v>
      </c>
      <c r="D9" s="1">
        <v>13.618</v>
      </c>
      <c r="E9" t="s">
        <v>238</v>
      </c>
      <c r="F9">
        <f t="shared" si="0"/>
        <v>-1</v>
      </c>
      <c r="G9">
        <f t="shared" si="0"/>
        <v>13.618</v>
      </c>
      <c r="H9">
        <f t="shared" si="0"/>
        <v>-1</v>
      </c>
      <c r="I9">
        <f t="shared" si="0"/>
        <v>-1</v>
      </c>
      <c r="J9" t="s">
        <v>15</v>
      </c>
      <c r="Q9">
        <v>20</v>
      </c>
      <c r="R9" t="str">
        <v>Ca</v>
      </c>
      <c r="S9">
        <v>6.1130000000000004</v>
      </c>
      <c r="T9">
        <v>14</v>
      </c>
      <c r="U9" t="str">
        <v>Si</v>
      </c>
      <c r="V9">
        <v>8.1519999999999992</v>
      </c>
      <c r="W9">
        <v>28</v>
      </c>
      <c r="X9" t="str">
        <v>Ni</v>
      </c>
      <c r="Y9">
        <v>7.64</v>
      </c>
      <c r="Z9">
        <v>64</v>
      </c>
      <c r="AA9" t="str">
        <v>Gd</v>
      </c>
      <c r="AB9">
        <v>6.15</v>
      </c>
    </row>
    <row r="10" spans="1:28" x14ac:dyDescent="0.3">
      <c r="A10" s="1">
        <v>9</v>
      </c>
      <c r="B10" s="1" t="s">
        <v>17</v>
      </c>
      <c r="C10" t="s">
        <v>18</v>
      </c>
      <c r="D10" s="1">
        <v>17.422999999999998</v>
      </c>
      <c r="E10" t="s">
        <v>238</v>
      </c>
      <c r="F10">
        <f t="shared" si="0"/>
        <v>-1</v>
      </c>
      <c r="G10">
        <f t="shared" si="0"/>
        <v>17.422999999999998</v>
      </c>
      <c r="H10">
        <f t="shared" si="0"/>
        <v>-1</v>
      </c>
      <c r="I10">
        <f t="shared" si="0"/>
        <v>-1</v>
      </c>
      <c r="Q10">
        <v>37</v>
      </c>
      <c r="R10" t="str">
        <v>Rb</v>
      </c>
      <c r="S10">
        <v>4.1769999999999996</v>
      </c>
      <c r="T10">
        <v>15</v>
      </c>
      <c r="U10" t="str">
        <v>P</v>
      </c>
      <c r="V10">
        <v>10.487</v>
      </c>
      <c r="W10">
        <v>29</v>
      </c>
      <c r="X10" t="str">
        <v>Cu</v>
      </c>
      <c r="Y10">
        <v>7.726</v>
      </c>
      <c r="Z10">
        <v>65</v>
      </c>
      <c r="AA10" t="str">
        <v>Tb</v>
      </c>
      <c r="AB10">
        <v>5.8639999999999999</v>
      </c>
    </row>
    <row r="11" spans="1:28" x14ac:dyDescent="0.3">
      <c r="A11" s="1">
        <v>10</v>
      </c>
      <c r="B11" s="1" t="s">
        <v>19</v>
      </c>
      <c r="C11" t="s">
        <v>20</v>
      </c>
      <c r="D11" s="1">
        <v>21.565000000000001</v>
      </c>
      <c r="E11" t="s">
        <v>238</v>
      </c>
      <c r="F11">
        <f t="shared" si="0"/>
        <v>-1</v>
      </c>
      <c r="G11">
        <f t="shared" si="0"/>
        <v>21.565000000000001</v>
      </c>
      <c r="H11">
        <f t="shared" si="0"/>
        <v>-1</v>
      </c>
      <c r="I11">
        <f t="shared" si="0"/>
        <v>-1</v>
      </c>
      <c r="J11" t="s">
        <v>19</v>
      </c>
      <c r="Q11">
        <v>38</v>
      </c>
      <c r="R11" t="str">
        <v>Sr</v>
      </c>
      <c r="S11">
        <v>5.6950000000000003</v>
      </c>
      <c r="T11">
        <v>16</v>
      </c>
      <c r="U11" t="str">
        <v>S</v>
      </c>
      <c r="V11">
        <v>10.36</v>
      </c>
      <c r="W11">
        <v>30</v>
      </c>
      <c r="X11" t="str">
        <v>Zn</v>
      </c>
      <c r="Y11">
        <v>9.3940000000000001</v>
      </c>
      <c r="Z11">
        <v>66</v>
      </c>
      <c r="AA11" t="str">
        <v>Dy</v>
      </c>
      <c r="AB11">
        <v>5.9390000000000001</v>
      </c>
    </row>
    <row r="12" spans="1:28" x14ac:dyDescent="0.3">
      <c r="A12" s="1">
        <v>11</v>
      </c>
      <c r="B12" s="1" t="s">
        <v>21</v>
      </c>
      <c r="C12" t="s">
        <v>22</v>
      </c>
      <c r="D12" s="1">
        <v>5.1390000000000002</v>
      </c>
      <c r="E12" t="s">
        <v>237</v>
      </c>
      <c r="F12">
        <f t="shared" si="0"/>
        <v>5.1390000000000002</v>
      </c>
      <c r="G12">
        <v>-10</v>
      </c>
      <c r="H12">
        <f t="shared" si="0"/>
        <v>-1</v>
      </c>
      <c r="I12">
        <f t="shared" si="0"/>
        <v>-1</v>
      </c>
      <c r="J12" t="s">
        <v>21</v>
      </c>
      <c r="Q12">
        <v>55</v>
      </c>
      <c r="R12" t="str">
        <v>Cs</v>
      </c>
      <c r="S12">
        <v>3.8940000000000001</v>
      </c>
      <c r="T12">
        <v>17</v>
      </c>
      <c r="U12" t="str">
        <v>Cl</v>
      </c>
      <c r="V12">
        <v>12.968</v>
      </c>
      <c r="W12">
        <v>39</v>
      </c>
      <c r="X12" t="str">
        <v>Y</v>
      </c>
      <c r="Y12">
        <v>6.2169999999999996</v>
      </c>
      <c r="Z12">
        <v>67</v>
      </c>
      <c r="AA12" t="str">
        <v>Ho</v>
      </c>
      <c r="AB12">
        <v>6.0220000000000002</v>
      </c>
    </row>
    <row r="13" spans="1:28" x14ac:dyDescent="0.3">
      <c r="A13" s="1">
        <v>12</v>
      </c>
      <c r="B13" s="1" t="s">
        <v>23</v>
      </c>
      <c r="C13" t="s">
        <v>24</v>
      </c>
      <c r="D13" s="1">
        <v>7.6459999999999999</v>
      </c>
      <c r="E13" t="s">
        <v>237</v>
      </c>
      <c r="F13">
        <f t="shared" si="0"/>
        <v>7.6459999999999999</v>
      </c>
      <c r="G13">
        <f t="shared" si="0"/>
        <v>-1</v>
      </c>
      <c r="H13">
        <f t="shared" si="0"/>
        <v>-1</v>
      </c>
      <c r="I13">
        <f t="shared" si="0"/>
        <v>-1</v>
      </c>
      <c r="J13" t="s">
        <v>23</v>
      </c>
      <c r="Q13">
        <v>56</v>
      </c>
      <c r="R13" t="str">
        <v>Ba</v>
      </c>
      <c r="S13">
        <v>5.2119999999999997</v>
      </c>
      <c r="T13">
        <v>18</v>
      </c>
      <c r="U13" t="str">
        <v>Ar</v>
      </c>
      <c r="V13">
        <v>15.76</v>
      </c>
      <c r="W13">
        <v>40</v>
      </c>
      <c r="X13" t="str">
        <v>Zr</v>
      </c>
      <c r="Y13">
        <v>6.6340000000000003</v>
      </c>
      <c r="Z13">
        <v>68</v>
      </c>
      <c r="AA13" t="str">
        <v>Er</v>
      </c>
      <c r="AB13">
        <v>6.1079999999999997</v>
      </c>
    </row>
    <row r="14" spans="1:28" x14ac:dyDescent="0.3">
      <c r="A14" s="1">
        <v>13</v>
      </c>
      <c r="B14" s="1" t="s">
        <v>25</v>
      </c>
      <c r="C14" t="s">
        <v>26</v>
      </c>
      <c r="D14" s="1">
        <v>5.9859999999999998</v>
      </c>
      <c r="E14" t="s">
        <v>238</v>
      </c>
      <c r="F14">
        <v>-10</v>
      </c>
      <c r="G14">
        <f t="shared" si="0"/>
        <v>5.9859999999999998</v>
      </c>
      <c r="H14">
        <f t="shared" si="0"/>
        <v>-1</v>
      </c>
      <c r="I14">
        <f t="shared" si="0"/>
        <v>-1</v>
      </c>
      <c r="J14" t="s">
        <v>25</v>
      </c>
      <c r="Q14">
        <v>87</v>
      </c>
      <c r="R14" t="str">
        <v>Fr</v>
      </c>
      <c r="S14">
        <v>3.9</v>
      </c>
      <c r="T14">
        <v>31</v>
      </c>
      <c r="U14" t="str">
        <v>Ga</v>
      </c>
      <c r="V14">
        <v>5.9989999999999997</v>
      </c>
      <c r="W14">
        <v>41</v>
      </c>
      <c r="X14" t="str">
        <v>Nb</v>
      </c>
      <c r="Y14">
        <v>6.7590000000000003</v>
      </c>
      <c r="Z14">
        <v>69</v>
      </c>
      <c r="AA14" t="str">
        <v>Tm</v>
      </c>
      <c r="AB14">
        <v>6.1840000000000002</v>
      </c>
    </row>
    <row r="15" spans="1:28" x14ac:dyDescent="0.3">
      <c r="A15" s="1">
        <v>14</v>
      </c>
      <c r="B15" s="1" t="s">
        <v>27</v>
      </c>
      <c r="C15" t="s">
        <v>28</v>
      </c>
      <c r="D15" s="1">
        <v>8.1519999999999992</v>
      </c>
      <c r="E15" t="s">
        <v>238</v>
      </c>
      <c r="F15">
        <f t="shared" si="0"/>
        <v>-1</v>
      </c>
      <c r="G15">
        <f t="shared" si="0"/>
        <v>8.1519999999999992</v>
      </c>
      <c r="H15">
        <f t="shared" si="0"/>
        <v>-1</v>
      </c>
      <c r="I15">
        <f t="shared" si="0"/>
        <v>-1</v>
      </c>
      <c r="Q15">
        <v>88</v>
      </c>
      <c r="R15" t="str">
        <v>Ra</v>
      </c>
      <c r="S15">
        <v>5.2789999999999999</v>
      </c>
      <c r="T15">
        <v>32</v>
      </c>
      <c r="U15" t="str">
        <v>Ge</v>
      </c>
      <c r="V15">
        <v>7.9</v>
      </c>
      <c r="W15">
        <v>42</v>
      </c>
      <c r="X15" t="str">
        <v>Mo</v>
      </c>
      <c r="Y15">
        <v>7.0919999999999996</v>
      </c>
      <c r="Z15">
        <v>70</v>
      </c>
      <c r="AA15" t="str">
        <v>Yb</v>
      </c>
      <c r="AB15">
        <v>6.2539999999999996</v>
      </c>
    </row>
    <row r="16" spans="1:28" x14ac:dyDescent="0.3">
      <c r="A16" s="1">
        <v>15</v>
      </c>
      <c r="B16" s="1" t="s">
        <v>29</v>
      </c>
      <c r="C16" t="s">
        <v>30</v>
      </c>
      <c r="D16" s="1">
        <v>10.487</v>
      </c>
      <c r="E16" t="s">
        <v>238</v>
      </c>
      <c r="F16">
        <f t="shared" si="0"/>
        <v>-1</v>
      </c>
      <c r="G16">
        <f t="shared" si="0"/>
        <v>10.487</v>
      </c>
      <c r="H16">
        <f t="shared" si="0"/>
        <v>-1</v>
      </c>
      <c r="I16">
        <f t="shared" si="0"/>
        <v>-1</v>
      </c>
      <c r="T16">
        <v>33</v>
      </c>
      <c r="U16" t="str">
        <v>As</v>
      </c>
      <c r="V16">
        <v>9.8149999999999995</v>
      </c>
      <c r="W16">
        <v>43</v>
      </c>
      <c r="X16" t="str">
        <v>Tc</v>
      </c>
      <c r="Y16">
        <v>7.28</v>
      </c>
      <c r="Z16">
        <v>89</v>
      </c>
      <c r="AA16" t="str">
        <v>Ac</v>
      </c>
      <c r="AB16">
        <v>5.17</v>
      </c>
    </row>
    <row r="17" spans="1:28" x14ac:dyDescent="0.3">
      <c r="A17" s="1">
        <v>16</v>
      </c>
      <c r="B17" s="1" t="s">
        <v>31</v>
      </c>
      <c r="C17" t="s">
        <v>32</v>
      </c>
      <c r="D17" s="1">
        <v>10.36</v>
      </c>
      <c r="E17" t="s">
        <v>238</v>
      </c>
      <c r="F17">
        <f t="shared" si="0"/>
        <v>-1</v>
      </c>
      <c r="G17">
        <f t="shared" si="0"/>
        <v>10.36</v>
      </c>
      <c r="H17">
        <f t="shared" si="0"/>
        <v>-1</v>
      </c>
      <c r="I17">
        <f t="shared" si="0"/>
        <v>-1</v>
      </c>
      <c r="T17">
        <v>34</v>
      </c>
      <c r="U17" t="str">
        <v>Se</v>
      </c>
      <c r="V17">
        <v>9.7520000000000007</v>
      </c>
      <c r="W17">
        <v>44</v>
      </c>
      <c r="X17" t="str">
        <v>Ru</v>
      </c>
      <c r="Y17">
        <v>7.3609999999999998</v>
      </c>
      <c r="Z17">
        <v>90</v>
      </c>
      <c r="AA17" t="str">
        <v>Th</v>
      </c>
      <c r="AB17">
        <v>6.08</v>
      </c>
    </row>
    <row r="18" spans="1:28" x14ac:dyDescent="0.3">
      <c r="A18" s="1">
        <v>17</v>
      </c>
      <c r="B18" s="1" t="s">
        <v>33</v>
      </c>
      <c r="C18" t="s">
        <v>34</v>
      </c>
      <c r="D18" s="1">
        <v>12.968</v>
      </c>
      <c r="E18" t="s">
        <v>238</v>
      </c>
      <c r="F18">
        <f t="shared" si="0"/>
        <v>-1</v>
      </c>
      <c r="G18">
        <f t="shared" si="0"/>
        <v>12.968</v>
      </c>
      <c r="H18">
        <f t="shared" si="0"/>
        <v>-1</v>
      </c>
      <c r="I18">
        <f t="shared" si="0"/>
        <v>-1</v>
      </c>
      <c r="T18">
        <v>35</v>
      </c>
      <c r="U18" t="str">
        <v>Br</v>
      </c>
      <c r="V18">
        <v>11.814</v>
      </c>
      <c r="W18">
        <v>45</v>
      </c>
      <c r="X18" t="str">
        <v>Rh</v>
      </c>
      <c r="Y18">
        <v>7.4589999999999996</v>
      </c>
      <c r="Z18">
        <v>91</v>
      </c>
      <c r="AA18" t="str">
        <v>Pa</v>
      </c>
      <c r="AB18">
        <v>5.89</v>
      </c>
    </row>
    <row r="19" spans="1:28" x14ac:dyDescent="0.3">
      <c r="A19" s="1">
        <v>18</v>
      </c>
      <c r="B19" s="1" t="s">
        <v>35</v>
      </c>
      <c r="C19" t="s">
        <v>36</v>
      </c>
      <c r="D19" s="1">
        <v>15.76</v>
      </c>
      <c r="E19" t="s">
        <v>238</v>
      </c>
      <c r="F19">
        <f t="shared" si="0"/>
        <v>-1</v>
      </c>
      <c r="G19">
        <f t="shared" si="0"/>
        <v>15.76</v>
      </c>
      <c r="H19">
        <f t="shared" si="0"/>
        <v>-1</v>
      </c>
      <c r="I19">
        <f t="shared" si="0"/>
        <v>-1</v>
      </c>
      <c r="J19" t="s">
        <v>35</v>
      </c>
      <c r="T19">
        <v>36</v>
      </c>
      <c r="U19" t="str">
        <v>Kr</v>
      </c>
      <c r="V19">
        <v>14</v>
      </c>
      <c r="W19">
        <v>46</v>
      </c>
      <c r="X19" t="str">
        <v>Pd</v>
      </c>
      <c r="Y19">
        <v>8.3369999999999997</v>
      </c>
      <c r="Z19">
        <v>92</v>
      </c>
      <c r="AA19" t="str">
        <v>U</v>
      </c>
      <c r="AB19">
        <v>6.194</v>
      </c>
    </row>
    <row r="20" spans="1:28" x14ac:dyDescent="0.3">
      <c r="A20" s="1">
        <v>19</v>
      </c>
      <c r="B20" s="1" t="s">
        <v>37</v>
      </c>
      <c r="C20" t="s">
        <v>38</v>
      </c>
      <c r="D20" s="1">
        <v>4.3410000000000002</v>
      </c>
      <c r="E20" t="s">
        <v>237</v>
      </c>
      <c r="F20">
        <f t="shared" si="0"/>
        <v>4.3410000000000002</v>
      </c>
      <c r="G20">
        <v>-10</v>
      </c>
      <c r="H20">
        <f t="shared" si="0"/>
        <v>-1</v>
      </c>
      <c r="I20">
        <f t="shared" si="0"/>
        <v>-1</v>
      </c>
      <c r="J20" t="s">
        <v>37</v>
      </c>
      <c r="T20">
        <v>49</v>
      </c>
      <c r="U20" t="str">
        <v>In</v>
      </c>
      <c r="V20">
        <v>5.7859999999999996</v>
      </c>
      <c r="W20">
        <v>47</v>
      </c>
      <c r="X20" t="str">
        <v>Ag</v>
      </c>
      <c r="Y20">
        <v>7.5759999999999996</v>
      </c>
      <c r="Z20">
        <v>93</v>
      </c>
      <c r="AA20" t="str">
        <v>Np</v>
      </c>
      <c r="AB20">
        <v>6.266</v>
      </c>
    </row>
    <row r="21" spans="1:28" x14ac:dyDescent="0.3">
      <c r="A21" s="1">
        <v>20</v>
      </c>
      <c r="B21" s="1" t="s">
        <v>39</v>
      </c>
      <c r="C21" t="s">
        <v>40</v>
      </c>
      <c r="D21" s="1">
        <v>6.1130000000000004</v>
      </c>
      <c r="E21" t="s">
        <v>237</v>
      </c>
      <c r="F21">
        <f t="shared" si="0"/>
        <v>6.1130000000000004</v>
      </c>
      <c r="G21">
        <f t="shared" si="0"/>
        <v>-1</v>
      </c>
      <c r="H21">
        <f t="shared" si="0"/>
        <v>-1</v>
      </c>
      <c r="I21">
        <f t="shared" si="0"/>
        <v>-1</v>
      </c>
      <c r="J21" t="s">
        <v>39</v>
      </c>
      <c r="T21">
        <v>50</v>
      </c>
      <c r="U21" t="str">
        <v>Sn</v>
      </c>
      <c r="V21">
        <v>7.3440000000000003</v>
      </c>
      <c r="W21">
        <v>48</v>
      </c>
      <c r="X21" t="str">
        <v>Cd</v>
      </c>
      <c r="Y21">
        <v>8.9939999999999998</v>
      </c>
      <c r="Z21">
        <v>94</v>
      </c>
      <c r="AA21" t="str">
        <v>Pu</v>
      </c>
      <c r="AB21">
        <v>6.06</v>
      </c>
    </row>
    <row r="22" spans="1:28" x14ac:dyDescent="0.3">
      <c r="A22" s="1">
        <v>21</v>
      </c>
      <c r="B22" s="1" t="s">
        <v>41</v>
      </c>
      <c r="C22" t="s">
        <v>42</v>
      </c>
      <c r="D22" s="1">
        <v>6.5609999999999999</v>
      </c>
      <c r="E22" t="s">
        <v>239</v>
      </c>
      <c r="F22">
        <v>-10</v>
      </c>
      <c r="G22">
        <f t="shared" ref="F22:I41" si="1">IF($E22=G$1,IF($D22="",-1,$D22),-1)</f>
        <v>-1</v>
      </c>
      <c r="H22">
        <f t="shared" si="1"/>
        <v>6.5609999999999999</v>
      </c>
      <c r="I22">
        <f t="shared" si="1"/>
        <v>-1</v>
      </c>
      <c r="T22">
        <v>51</v>
      </c>
      <c r="U22" t="str">
        <v>Sb</v>
      </c>
      <c r="V22">
        <v>8.64</v>
      </c>
      <c r="W22">
        <v>71</v>
      </c>
      <c r="X22" t="str">
        <v>Lu</v>
      </c>
      <c r="Y22">
        <v>5.4260000000000002</v>
      </c>
      <c r="Z22">
        <v>95</v>
      </c>
      <c r="AA22" t="str">
        <v>Am</v>
      </c>
      <c r="AB22">
        <v>5.9930000000000003</v>
      </c>
    </row>
    <row r="23" spans="1:28" x14ac:dyDescent="0.3">
      <c r="A23" s="1">
        <v>22</v>
      </c>
      <c r="B23" s="1" t="s">
        <v>43</v>
      </c>
      <c r="C23" t="s">
        <v>44</v>
      </c>
      <c r="D23" s="1">
        <v>6.8280000000000003</v>
      </c>
      <c r="E23" t="s">
        <v>239</v>
      </c>
      <c r="F23">
        <f t="shared" si="1"/>
        <v>-1</v>
      </c>
      <c r="G23">
        <f t="shared" si="1"/>
        <v>-1</v>
      </c>
      <c r="H23">
        <f t="shared" si="1"/>
        <v>6.8280000000000003</v>
      </c>
      <c r="I23">
        <f t="shared" si="1"/>
        <v>-1</v>
      </c>
      <c r="T23">
        <v>52</v>
      </c>
      <c r="U23" t="str">
        <v>Te</v>
      </c>
      <c r="V23">
        <v>9.01</v>
      </c>
      <c r="W23">
        <v>72</v>
      </c>
      <c r="X23" t="str">
        <v>Hf</v>
      </c>
      <c r="Y23">
        <v>6.8250000000000002</v>
      </c>
      <c r="Z23">
        <v>96</v>
      </c>
      <c r="AA23" t="str">
        <v>Cm</v>
      </c>
      <c r="AB23">
        <v>6.02</v>
      </c>
    </row>
    <row r="24" spans="1:28" x14ac:dyDescent="0.3">
      <c r="A24" s="1">
        <v>23</v>
      </c>
      <c r="B24" s="1" t="s">
        <v>45</v>
      </c>
      <c r="C24" t="s">
        <v>46</v>
      </c>
      <c r="D24" s="1">
        <v>6.7460000000000004</v>
      </c>
      <c r="E24" t="s">
        <v>239</v>
      </c>
      <c r="F24">
        <f t="shared" si="1"/>
        <v>-1</v>
      </c>
      <c r="G24">
        <f t="shared" si="1"/>
        <v>-1</v>
      </c>
      <c r="H24">
        <f t="shared" si="1"/>
        <v>6.7460000000000004</v>
      </c>
      <c r="I24">
        <f t="shared" si="1"/>
        <v>-1</v>
      </c>
      <c r="T24">
        <v>53</v>
      </c>
      <c r="U24" t="str">
        <v>I</v>
      </c>
      <c r="V24">
        <v>10.451000000000001</v>
      </c>
      <c r="W24">
        <v>73</v>
      </c>
      <c r="X24" t="str">
        <v>Ta</v>
      </c>
      <c r="Y24">
        <v>7.89</v>
      </c>
      <c r="Z24">
        <v>97</v>
      </c>
      <c r="AA24" t="str">
        <v>Bk</v>
      </c>
      <c r="AB24">
        <v>6.23</v>
      </c>
    </row>
    <row r="25" spans="1:28" x14ac:dyDescent="0.3">
      <c r="A25" s="1">
        <v>24</v>
      </c>
      <c r="B25" s="1" t="s">
        <v>47</v>
      </c>
      <c r="C25" t="s">
        <v>48</v>
      </c>
      <c r="D25" s="1">
        <v>6.7670000000000003</v>
      </c>
      <c r="E25" t="s">
        <v>239</v>
      </c>
      <c r="F25">
        <f t="shared" si="1"/>
        <v>-1</v>
      </c>
      <c r="G25">
        <f t="shared" si="1"/>
        <v>-1</v>
      </c>
      <c r="H25">
        <f t="shared" si="1"/>
        <v>6.7670000000000003</v>
      </c>
      <c r="I25">
        <f t="shared" si="1"/>
        <v>-1</v>
      </c>
      <c r="T25">
        <v>54</v>
      </c>
      <c r="U25" t="str">
        <v>Xe</v>
      </c>
      <c r="V25">
        <v>12.13</v>
      </c>
      <c r="W25">
        <v>74</v>
      </c>
      <c r="X25" t="str">
        <v>W</v>
      </c>
      <c r="Y25">
        <v>7.98</v>
      </c>
      <c r="Z25">
        <v>98</v>
      </c>
      <c r="AA25" t="str">
        <v>Cf</v>
      </c>
      <c r="AB25">
        <v>6.3</v>
      </c>
    </row>
    <row r="26" spans="1:28" x14ac:dyDescent="0.3">
      <c r="A26" s="1">
        <v>25</v>
      </c>
      <c r="B26" s="1" t="s">
        <v>49</v>
      </c>
      <c r="C26" t="s">
        <v>50</v>
      </c>
      <c r="D26" s="1">
        <v>7.4340000000000002</v>
      </c>
      <c r="E26" t="s">
        <v>239</v>
      </c>
      <c r="F26">
        <f t="shared" si="1"/>
        <v>-1</v>
      </c>
      <c r="G26">
        <f t="shared" si="1"/>
        <v>-1</v>
      </c>
      <c r="H26">
        <f t="shared" si="1"/>
        <v>7.4340000000000002</v>
      </c>
      <c r="I26">
        <f t="shared" si="1"/>
        <v>-1</v>
      </c>
      <c r="T26">
        <v>81</v>
      </c>
      <c r="U26" t="str">
        <v>Tl</v>
      </c>
      <c r="V26">
        <v>6.1079999999999997</v>
      </c>
      <c r="W26">
        <v>75</v>
      </c>
      <c r="X26" t="str">
        <v>Re</v>
      </c>
      <c r="Y26">
        <v>7.88</v>
      </c>
      <c r="Z26">
        <v>99</v>
      </c>
      <c r="AA26" t="str">
        <v>Es</v>
      </c>
      <c r="AB26">
        <v>6.42</v>
      </c>
    </row>
    <row r="27" spans="1:28" x14ac:dyDescent="0.3">
      <c r="A27" s="1">
        <v>26</v>
      </c>
      <c r="B27" s="1" t="s">
        <v>51</v>
      </c>
      <c r="C27" t="s">
        <v>52</v>
      </c>
      <c r="D27" s="1">
        <v>7.9020000000000001</v>
      </c>
      <c r="E27" t="s">
        <v>239</v>
      </c>
      <c r="F27">
        <f t="shared" si="1"/>
        <v>-1</v>
      </c>
      <c r="G27">
        <f t="shared" si="1"/>
        <v>-1</v>
      </c>
      <c r="H27">
        <f t="shared" si="1"/>
        <v>7.9020000000000001</v>
      </c>
      <c r="I27">
        <f t="shared" si="1"/>
        <v>-1</v>
      </c>
      <c r="T27">
        <v>82</v>
      </c>
      <c r="U27" t="str">
        <v>Pb</v>
      </c>
      <c r="V27">
        <v>7.4169999999999998</v>
      </c>
      <c r="W27">
        <v>76</v>
      </c>
      <c r="X27" t="str">
        <v>Os</v>
      </c>
      <c r="Y27">
        <v>8.6999999999999993</v>
      </c>
      <c r="Z27">
        <v>100</v>
      </c>
      <c r="AA27" t="str">
        <v>Fm</v>
      </c>
      <c r="AB27">
        <v>6.5</v>
      </c>
    </row>
    <row r="28" spans="1:28" x14ac:dyDescent="0.3">
      <c r="A28" s="1">
        <v>27</v>
      </c>
      <c r="B28" s="1" t="s">
        <v>53</v>
      </c>
      <c r="C28" t="s">
        <v>54</v>
      </c>
      <c r="D28" s="1">
        <v>7.8810000000000002</v>
      </c>
      <c r="E28" t="s">
        <v>239</v>
      </c>
      <c r="F28">
        <f t="shared" si="1"/>
        <v>-1</v>
      </c>
      <c r="G28">
        <f t="shared" si="1"/>
        <v>-1</v>
      </c>
      <c r="H28">
        <f t="shared" si="1"/>
        <v>7.8810000000000002</v>
      </c>
      <c r="I28">
        <f t="shared" si="1"/>
        <v>-1</v>
      </c>
      <c r="T28">
        <v>83</v>
      </c>
      <c r="U28" t="str">
        <v>Bi</v>
      </c>
      <c r="V28">
        <v>7.2889999999999997</v>
      </c>
      <c r="W28">
        <v>77</v>
      </c>
      <c r="X28" t="str">
        <v>Ir</v>
      </c>
      <c r="Y28">
        <v>9.1</v>
      </c>
      <c r="Z28">
        <v>101</v>
      </c>
      <c r="AA28" t="str">
        <v>Md</v>
      </c>
      <c r="AB28">
        <v>6.58</v>
      </c>
    </row>
    <row r="29" spans="1:28" x14ac:dyDescent="0.3">
      <c r="A29" s="1">
        <v>28</v>
      </c>
      <c r="B29" s="1" t="s">
        <v>55</v>
      </c>
      <c r="C29" t="s">
        <v>56</v>
      </c>
      <c r="D29" s="1">
        <v>7.64</v>
      </c>
      <c r="E29" t="s">
        <v>239</v>
      </c>
      <c r="F29">
        <f t="shared" si="1"/>
        <v>-1</v>
      </c>
      <c r="G29">
        <f t="shared" si="1"/>
        <v>-1</v>
      </c>
      <c r="H29">
        <f t="shared" si="1"/>
        <v>7.64</v>
      </c>
      <c r="I29">
        <f t="shared" si="1"/>
        <v>-1</v>
      </c>
      <c r="T29">
        <v>84</v>
      </c>
      <c r="U29" t="str">
        <v>Po</v>
      </c>
      <c r="V29">
        <v>8.4169999999999998</v>
      </c>
      <c r="W29">
        <v>78</v>
      </c>
      <c r="X29" t="str">
        <v>Pt</v>
      </c>
      <c r="Y29">
        <v>9</v>
      </c>
      <c r="Z29">
        <v>102</v>
      </c>
      <c r="AA29" t="str">
        <v>No</v>
      </c>
      <c r="AB29">
        <v>6.65</v>
      </c>
    </row>
    <row r="30" spans="1:28" x14ac:dyDescent="0.3">
      <c r="A30" s="1">
        <v>29</v>
      </c>
      <c r="B30" s="1" t="s">
        <v>57</v>
      </c>
      <c r="C30" t="s">
        <v>58</v>
      </c>
      <c r="D30" s="1">
        <v>7.726</v>
      </c>
      <c r="E30" t="s">
        <v>239</v>
      </c>
      <c r="F30">
        <f t="shared" si="1"/>
        <v>-1</v>
      </c>
      <c r="G30">
        <f t="shared" si="1"/>
        <v>-1</v>
      </c>
      <c r="H30">
        <f t="shared" si="1"/>
        <v>7.726</v>
      </c>
      <c r="I30">
        <f t="shared" si="1"/>
        <v>-1</v>
      </c>
      <c r="T30">
        <v>85</v>
      </c>
      <c r="U30" t="str">
        <v>At</v>
      </c>
      <c r="V30">
        <v>9.5</v>
      </c>
      <c r="W30">
        <v>79</v>
      </c>
      <c r="X30" t="str">
        <v>Au</v>
      </c>
      <c r="Y30">
        <v>9.2260000000000009</v>
      </c>
    </row>
    <row r="31" spans="1:28" x14ac:dyDescent="0.3">
      <c r="A31" s="1">
        <v>30</v>
      </c>
      <c r="B31" s="1" t="s">
        <v>59</v>
      </c>
      <c r="C31" t="s">
        <v>60</v>
      </c>
      <c r="D31" s="1">
        <v>9.3940000000000001</v>
      </c>
      <c r="E31" t="s">
        <v>239</v>
      </c>
      <c r="F31">
        <f t="shared" si="1"/>
        <v>-1</v>
      </c>
      <c r="G31">
        <f t="shared" si="1"/>
        <v>-1</v>
      </c>
      <c r="H31">
        <f t="shared" si="1"/>
        <v>9.3940000000000001</v>
      </c>
      <c r="I31">
        <f t="shared" si="1"/>
        <v>-1</v>
      </c>
      <c r="J31" t="s">
        <v>59</v>
      </c>
      <c r="T31">
        <v>86</v>
      </c>
      <c r="U31" t="str">
        <v>Rn</v>
      </c>
      <c r="V31">
        <v>10.744999999999999</v>
      </c>
      <c r="W31">
        <v>80</v>
      </c>
      <c r="X31" t="str">
        <v>Hg</v>
      </c>
      <c r="Y31">
        <v>10.438000000000001</v>
      </c>
    </row>
    <row r="32" spans="1:28" x14ac:dyDescent="0.3">
      <c r="A32" s="1">
        <v>31</v>
      </c>
      <c r="B32" s="1" t="s">
        <v>61</v>
      </c>
      <c r="C32" t="s">
        <v>62</v>
      </c>
      <c r="D32" s="1">
        <v>5.9989999999999997</v>
      </c>
      <c r="E32" t="s">
        <v>238</v>
      </c>
      <c r="F32">
        <f t="shared" si="1"/>
        <v>-1</v>
      </c>
      <c r="G32">
        <f t="shared" si="1"/>
        <v>5.9989999999999997</v>
      </c>
      <c r="H32">
        <v>-10</v>
      </c>
      <c r="I32">
        <f t="shared" si="1"/>
        <v>-1</v>
      </c>
      <c r="J32" t="s">
        <v>61</v>
      </c>
      <c r="T32">
        <v>113</v>
      </c>
      <c r="U32" t="str">
        <v>Nh</v>
      </c>
      <c r="V32">
        <v>0</v>
      </c>
      <c r="W32">
        <v>103</v>
      </c>
      <c r="X32" t="str">
        <v>Lr</v>
      </c>
      <c r="Y32">
        <v>0</v>
      </c>
    </row>
    <row r="33" spans="1:25" x14ac:dyDescent="0.3">
      <c r="A33" s="1">
        <v>32</v>
      </c>
      <c r="B33" s="1" t="s">
        <v>63</v>
      </c>
      <c r="C33" t="s">
        <v>64</v>
      </c>
      <c r="D33" s="1">
        <v>7.9</v>
      </c>
      <c r="E33" t="s">
        <v>238</v>
      </c>
      <c r="F33">
        <f t="shared" si="1"/>
        <v>-1</v>
      </c>
      <c r="G33">
        <f t="shared" si="1"/>
        <v>7.9</v>
      </c>
      <c r="H33">
        <f t="shared" si="1"/>
        <v>-1</v>
      </c>
      <c r="I33">
        <f t="shared" si="1"/>
        <v>-1</v>
      </c>
      <c r="T33">
        <v>114</v>
      </c>
      <c r="U33" t="str">
        <v>Fl</v>
      </c>
      <c r="V33">
        <v>0</v>
      </c>
      <c r="W33">
        <v>104</v>
      </c>
      <c r="X33" t="str">
        <v>Rf</v>
      </c>
      <c r="Y33">
        <v>0</v>
      </c>
    </row>
    <row r="34" spans="1:25" x14ac:dyDescent="0.3">
      <c r="A34" s="1">
        <v>33</v>
      </c>
      <c r="B34" s="1" t="s">
        <v>65</v>
      </c>
      <c r="C34" t="s">
        <v>66</v>
      </c>
      <c r="D34" s="1">
        <v>9.8149999999999995</v>
      </c>
      <c r="E34" t="s">
        <v>238</v>
      </c>
      <c r="F34">
        <f t="shared" si="1"/>
        <v>-1</v>
      </c>
      <c r="G34">
        <f t="shared" si="1"/>
        <v>9.8149999999999995</v>
      </c>
      <c r="H34">
        <f t="shared" si="1"/>
        <v>-1</v>
      </c>
      <c r="I34">
        <f t="shared" si="1"/>
        <v>-1</v>
      </c>
      <c r="T34">
        <v>115</v>
      </c>
      <c r="U34" t="str">
        <v>Mc</v>
      </c>
      <c r="V34">
        <v>0</v>
      </c>
      <c r="W34">
        <v>105</v>
      </c>
      <c r="X34" t="str">
        <v>Db</v>
      </c>
      <c r="Y34">
        <v>0</v>
      </c>
    </row>
    <row r="35" spans="1:25" x14ac:dyDescent="0.3">
      <c r="A35" s="1">
        <v>34</v>
      </c>
      <c r="B35" s="1" t="s">
        <v>67</v>
      </c>
      <c r="C35" t="s">
        <v>68</v>
      </c>
      <c r="D35" s="1">
        <v>9.7520000000000007</v>
      </c>
      <c r="E35" t="s">
        <v>238</v>
      </c>
      <c r="F35">
        <f t="shared" si="1"/>
        <v>-1</v>
      </c>
      <c r="G35">
        <f t="shared" si="1"/>
        <v>9.7520000000000007</v>
      </c>
      <c r="H35">
        <f t="shared" si="1"/>
        <v>-1</v>
      </c>
      <c r="I35">
        <f t="shared" si="1"/>
        <v>-1</v>
      </c>
      <c r="T35">
        <v>116</v>
      </c>
      <c r="U35" t="str">
        <v>Lv</v>
      </c>
      <c r="V35">
        <v>0</v>
      </c>
      <c r="W35">
        <v>106</v>
      </c>
      <c r="X35" t="str">
        <v>Sg</v>
      </c>
      <c r="Y35">
        <v>0</v>
      </c>
    </row>
    <row r="36" spans="1:25" x14ac:dyDescent="0.3">
      <c r="A36" s="1">
        <v>35</v>
      </c>
      <c r="B36" s="1" t="s">
        <v>69</v>
      </c>
      <c r="C36" t="s">
        <v>70</v>
      </c>
      <c r="D36" s="1">
        <v>11.814</v>
      </c>
      <c r="E36" t="s">
        <v>238</v>
      </c>
      <c r="F36">
        <f t="shared" si="1"/>
        <v>-1</v>
      </c>
      <c r="G36">
        <f t="shared" si="1"/>
        <v>11.814</v>
      </c>
      <c r="H36">
        <f t="shared" si="1"/>
        <v>-1</v>
      </c>
      <c r="I36">
        <f t="shared" si="1"/>
        <v>-1</v>
      </c>
      <c r="T36">
        <v>117</v>
      </c>
      <c r="U36" t="str">
        <v>Ts</v>
      </c>
      <c r="V36">
        <v>0</v>
      </c>
      <c r="W36">
        <v>107</v>
      </c>
      <c r="X36" t="str">
        <v>Bh</v>
      </c>
      <c r="Y36">
        <v>0</v>
      </c>
    </row>
    <row r="37" spans="1:25" x14ac:dyDescent="0.3">
      <c r="A37" s="1">
        <v>36</v>
      </c>
      <c r="B37" s="1" t="s">
        <v>71</v>
      </c>
      <c r="C37" t="s">
        <v>72</v>
      </c>
      <c r="D37" s="1">
        <v>14</v>
      </c>
      <c r="E37" t="s">
        <v>238</v>
      </c>
      <c r="F37">
        <f t="shared" si="1"/>
        <v>-1</v>
      </c>
      <c r="G37">
        <f t="shared" si="1"/>
        <v>14</v>
      </c>
      <c r="H37">
        <f t="shared" si="1"/>
        <v>-1</v>
      </c>
      <c r="I37">
        <f t="shared" si="1"/>
        <v>-1</v>
      </c>
      <c r="J37" t="s">
        <v>71</v>
      </c>
      <c r="T37">
        <v>118</v>
      </c>
      <c r="U37" t="str">
        <v>Og</v>
      </c>
      <c r="V37">
        <v>0</v>
      </c>
      <c r="W37">
        <v>108</v>
      </c>
      <c r="X37" t="str">
        <v>Hs</v>
      </c>
      <c r="Y37">
        <v>0</v>
      </c>
    </row>
    <row r="38" spans="1:25" x14ac:dyDescent="0.3">
      <c r="A38" s="1">
        <v>37</v>
      </c>
      <c r="B38" s="1" t="s">
        <v>73</v>
      </c>
      <c r="C38" t="s">
        <v>74</v>
      </c>
      <c r="D38" s="1">
        <v>4.1769999999999996</v>
      </c>
      <c r="E38" t="s">
        <v>237</v>
      </c>
      <c r="F38">
        <f t="shared" si="1"/>
        <v>4.1769999999999996</v>
      </c>
      <c r="G38">
        <v>-10</v>
      </c>
      <c r="H38">
        <f t="shared" si="1"/>
        <v>-1</v>
      </c>
      <c r="I38">
        <f t="shared" si="1"/>
        <v>-1</v>
      </c>
      <c r="J38" t="s">
        <v>73</v>
      </c>
      <c r="W38">
        <v>109</v>
      </c>
      <c r="X38" t="str">
        <v>Mt</v>
      </c>
      <c r="Y38">
        <v>0</v>
      </c>
    </row>
    <row r="39" spans="1:25" x14ac:dyDescent="0.3">
      <c r="A39" s="1">
        <v>38</v>
      </c>
      <c r="B39" s="1" t="s">
        <v>75</v>
      </c>
      <c r="C39" t="s">
        <v>76</v>
      </c>
      <c r="D39" s="1">
        <v>5.6950000000000003</v>
      </c>
      <c r="E39" t="s">
        <v>237</v>
      </c>
      <c r="F39">
        <f t="shared" si="1"/>
        <v>5.6950000000000003</v>
      </c>
      <c r="G39">
        <f t="shared" si="1"/>
        <v>-1</v>
      </c>
      <c r="H39">
        <f t="shared" si="1"/>
        <v>-1</v>
      </c>
      <c r="I39">
        <f t="shared" si="1"/>
        <v>-1</v>
      </c>
      <c r="J39" t="s">
        <v>75</v>
      </c>
      <c r="W39">
        <v>110</v>
      </c>
      <c r="X39" t="str">
        <v>Ds</v>
      </c>
      <c r="Y39">
        <v>0</v>
      </c>
    </row>
    <row r="40" spans="1:25" x14ac:dyDescent="0.3">
      <c r="A40" s="1">
        <v>39</v>
      </c>
      <c r="B40" s="1" t="s">
        <v>77</v>
      </c>
      <c r="C40" t="s">
        <v>78</v>
      </c>
      <c r="D40" s="1">
        <v>6.2169999999999996</v>
      </c>
      <c r="E40" t="s">
        <v>239</v>
      </c>
      <c r="F40">
        <v>-10</v>
      </c>
      <c r="G40">
        <f t="shared" si="1"/>
        <v>-1</v>
      </c>
      <c r="H40">
        <f t="shared" si="1"/>
        <v>6.2169999999999996</v>
      </c>
      <c r="I40">
        <f t="shared" si="1"/>
        <v>-1</v>
      </c>
      <c r="W40">
        <v>111</v>
      </c>
      <c r="X40" t="str">
        <v>Rg</v>
      </c>
      <c r="Y40">
        <v>0</v>
      </c>
    </row>
    <row r="41" spans="1:25" x14ac:dyDescent="0.3">
      <c r="A41" s="1">
        <v>40</v>
      </c>
      <c r="B41" s="1" t="s">
        <v>79</v>
      </c>
      <c r="C41" t="s">
        <v>80</v>
      </c>
      <c r="D41" s="1">
        <v>6.6340000000000003</v>
      </c>
      <c r="E41" t="s">
        <v>239</v>
      </c>
      <c r="F41">
        <f t="shared" si="1"/>
        <v>-1</v>
      </c>
      <c r="G41">
        <f t="shared" si="1"/>
        <v>-1</v>
      </c>
      <c r="H41">
        <f t="shared" si="1"/>
        <v>6.6340000000000003</v>
      </c>
      <c r="I41">
        <f t="shared" si="1"/>
        <v>-1</v>
      </c>
      <c r="W41">
        <v>112</v>
      </c>
      <c r="X41" t="str">
        <v>Cn</v>
      </c>
      <c r="Y41">
        <v>0</v>
      </c>
    </row>
    <row r="42" spans="1:25" x14ac:dyDescent="0.3">
      <c r="A42" s="1">
        <v>41</v>
      </c>
      <c r="B42" s="1" t="s">
        <v>81</v>
      </c>
      <c r="C42" t="s">
        <v>82</v>
      </c>
      <c r="D42" s="1">
        <v>6.7590000000000003</v>
      </c>
      <c r="E42" t="s">
        <v>239</v>
      </c>
      <c r="F42">
        <f t="shared" ref="F42:I61" si="2">IF($E42=F$1,IF($D42="",-1,$D42),-1)</f>
        <v>-1</v>
      </c>
      <c r="G42">
        <f t="shared" si="2"/>
        <v>-1</v>
      </c>
      <c r="H42">
        <f t="shared" si="2"/>
        <v>6.7590000000000003</v>
      </c>
      <c r="I42">
        <f t="shared" si="2"/>
        <v>-1</v>
      </c>
    </row>
    <row r="43" spans="1:25" x14ac:dyDescent="0.3">
      <c r="A43" s="1">
        <v>42</v>
      </c>
      <c r="B43" s="1" t="s">
        <v>83</v>
      </c>
      <c r="C43" t="s">
        <v>84</v>
      </c>
      <c r="D43" s="1">
        <v>7.0919999999999996</v>
      </c>
      <c r="E43" t="s">
        <v>239</v>
      </c>
      <c r="F43">
        <f t="shared" si="2"/>
        <v>-1</v>
      </c>
      <c r="G43">
        <f t="shared" si="2"/>
        <v>-1</v>
      </c>
      <c r="H43">
        <f t="shared" si="2"/>
        <v>7.0919999999999996</v>
      </c>
      <c r="I43">
        <f t="shared" si="2"/>
        <v>-1</v>
      </c>
    </row>
    <row r="44" spans="1:25" x14ac:dyDescent="0.3">
      <c r="A44" s="1">
        <v>43</v>
      </c>
      <c r="B44" s="1" t="s">
        <v>85</v>
      </c>
      <c r="C44" t="s">
        <v>86</v>
      </c>
      <c r="D44" s="1">
        <v>7.28</v>
      </c>
      <c r="E44" t="s">
        <v>239</v>
      </c>
      <c r="F44">
        <f t="shared" si="2"/>
        <v>-1</v>
      </c>
      <c r="G44">
        <f t="shared" si="2"/>
        <v>-1</v>
      </c>
      <c r="H44">
        <f t="shared" si="2"/>
        <v>7.28</v>
      </c>
      <c r="I44">
        <f t="shared" si="2"/>
        <v>-1</v>
      </c>
    </row>
    <row r="45" spans="1:25" x14ac:dyDescent="0.3">
      <c r="A45" s="1">
        <v>44</v>
      </c>
      <c r="B45" s="1" t="s">
        <v>87</v>
      </c>
      <c r="C45" t="s">
        <v>88</v>
      </c>
      <c r="D45" s="1">
        <v>7.3609999999999998</v>
      </c>
      <c r="E45" t="s">
        <v>239</v>
      </c>
      <c r="F45">
        <f t="shared" si="2"/>
        <v>-1</v>
      </c>
      <c r="G45">
        <f t="shared" si="2"/>
        <v>-1</v>
      </c>
      <c r="H45">
        <f t="shared" si="2"/>
        <v>7.3609999999999998</v>
      </c>
      <c r="I45">
        <f t="shared" si="2"/>
        <v>-1</v>
      </c>
    </row>
    <row r="46" spans="1:25" x14ac:dyDescent="0.3">
      <c r="A46" s="1">
        <v>45</v>
      </c>
      <c r="B46" s="1" t="s">
        <v>89</v>
      </c>
      <c r="C46" t="s">
        <v>90</v>
      </c>
      <c r="D46" s="1">
        <v>7.4589999999999996</v>
      </c>
      <c r="E46" t="s">
        <v>239</v>
      </c>
      <c r="F46">
        <f t="shared" si="2"/>
        <v>-1</v>
      </c>
      <c r="G46">
        <f t="shared" si="2"/>
        <v>-1</v>
      </c>
      <c r="H46">
        <f t="shared" si="2"/>
        <v>7.4589999999999996</v>
      </c>
      <c r="I46">
        <f t="shared" si="2"/>
        <v>-1</v>
      </c>
    </row>
    <row r="47" spans="1:25" x14ac:dyDescent="0.3">
      <c r="A47" s="1">
        <v>46</v>
      </c>
      <c r="B47" s="1" t="s">
        <v>91</v>
      </c>
      <c r="C47" t="s">
        <v>92</v>
      </c>
      <c r="D47" s="1">
        <v>8.3369999999999997</v>
      </c>
      <c r="E47" t="s">
        <v>239</v>
      </c>
      <c r="F47">
        <f t="shared" si="2"/>
        <v>-1</v>
      </c>
      <c r="G47">
        <f t="shared" si="2"/>
        <v>-1</v>
      </c>
      <c r="H47">
        <f t="shared" si="2"/>
        <v>8.3369999999999997</v>
      </c>
      <c r="I47">
        <f t="shared" si="2"/>
        <v>-1</v>
      </c>
    </row>
    <row r="48" spans="1:25" x14ac:dyDescent="0.3">
      <c r="A48" s="1">
        <v>47</v>
      </c>
      <c r="B48" s="1" t="s">
        <v>93</v>
      </c>
      <c r="C48" t="s">
        <v>94</v>
      </c>
      <c r="D48" s="1">
        <v>7.5759999999999996</v>
      </c>
      <c r="E48" t="s">
        <v>239</v>
      </c>
      <c r="F48">
        <f t="shared" si="2"/>
        <v>-1</v>
      </c>
      <c r="G48">
        <f t="shared" si="2"/>
        <v>-1</v>
      </c>
      <c r="H48">
        <f t="shared" si="2"/>
        <v>7.5759999999999996</v>
      </c>
      <c r="I48">
        <f t="shared" si="2"/>
        <v>-1</v>
      </c>
    </row>
    <row r="49" spans="1:9" x14ac:dyDescent="0.3">
      <c r="A49" s="1">
        <v>48</v>
      </c>
      <c r="B49" s="1" t="s">
        <v>95</v>
      </c>
      <c r="C49" t="s">
        <v>96</v>
      </c>
      <c r="D49" s="1">
        <v>8.9939999999999998</v>
      </c>
      <c r="E49" t="s">
        <v>239</v>
      </c>
      <c r="F49">
        <f t="shared" si="2"/>
        <v>-1</v>
      </c>
      <c r="G49">
        <f t="shared" si="2"/>
        <v>-1</v>
      </c>
      <c r="H49">
        <f t="shared" si="2"/>
        <v>8.9939999999999998</v>
      </c>
      <c r="I49">
        <f t="shared" si="2"/>
        <v>-1</v>
      </c>
    </row>
    <row r="50" spans="1:9" x14ac:dyDescent="0.3">
      <c r="A50" s="1">
        <v>49</v>
      </c>
      <c r="B50" s="1" t="s">
        <v>97</v>
      </c>
      <c r="C50" t="s">
        <v>98</v>
      </c>
      <c r="D50" s="1">
        <v>5.7859999999999996</v>
      </c>
      <c r="E50" t="s">
        <v>238</v>
      </c>
      <c r="F50">
        <f t="shared" si="2"/>
        <v>-1</v>
      </c>
      <c r="G50">
        <f t="shared" si="2"/>
        <v>5.7859999999999996</v>
      </c>
      <c r="H50">
        <f t="shared" si="2"/>
        <v>-1</v>
      </c>
      <c r="I50">
        <f t="shared" si="2"/>
        <v>-1</v>
      </c>
    </row>
    <row r="51" spans="1:9" x14ac:dyDescent="0.3">
      <c r="A51" s="1">
        <v>50</v>
      </c>
      <c r="B51" s="1" t="s">
        <v>99</v>
      </c>
      <c r="C51" t="s">
        <v>100</v>
      </c>
      <c r="D51" s="1">
        <v>7.3440000000000003</v>
      </c>
      <c r="E51" t="s">
        <v>238</v>
      </c>
      <c r="F51">
        <f t="shared" si="2"/>
        <v>-1</v>
      </c>
      <c r="G51">
        <f t="shared" si="2"/>
        <v>7.3440000000000003</v>
      </c>
      <c r="H51">
        <f t="shared" si="2"/>
        <v>-1</v>
      </c>
      <c r="I51">
        <f t="shared" si="2"/>
        <v>-1</v>
      </c>
    </row>
    <row r="52" spans="1:9" x14ac:dyDescent="0.3">
      <c r="A52" s="1">
        <v>51</v>
      </c>
      <c r="B52" s="1" t="s">
        <v>101</v>
      </c>
      <c r="C52" t="s">
        <v>102</v>
      </c>
      <c r="D52" s="1">
        <v>8.64</v>
      </c>
      <c r="E52" t="s">
        <v>238</v>
      </c>
      <c r="F52">
        <f t="shared" si="2"/>
        <v>-1</v>
      </c>
      <c r="G52">
        <f t="shared" si="2"/>
        <v>8.64</v>
      </c>
      <c r="H52">
        <f t="shared" si="2"/>
        <v>-1</v>
      </c>
      <c r="I52">
        <f t="shared" si="2"/>
        <v>-1</v>
      </c>
    </row>
    <row r="53" spans="1:9" x14ac:dyDescent="0.3">
      <c r="A53" s="1">
        <v>52</v>
      </c>
      <c r="B53" s="1" t="s">
        <v>103</v>
      </c>
      <c r="C53" t="s">
        <v>104</v>
      </c>
      <c r="D53" s="1">
        <v>9.01</v>
      </c>
      <c r="E53" t="s">
        <v>238</v>
      </c>
      <c r="F53">
        <f t="shared" si="2"/>
        <v>-1</v>
      </c>
      <c r="G53">
        <f t="shared" si="2"/>
        <v>9.01</v>
      </c>
      <c r="H53">
        <f t="shared" si="2"/>
        <v>-1</v>
      </c>
      <c r="I53">
        <f t="shared" si="2"/>
        <v>-1</v>
      </c>
    </row>
    <row r="54" spans="1:9" x14ac:dyDescent="0.3">
      <c r="A54" s="1">
        <v>53</v>
      </c>
      <c r="B54" s="1" t="s">
        <v>105</v>
      </c>
      <c r="C54" t="s">
        <v>106</v>
      </c>
      <c r="D54" s="1">
        <v>10.451000000000001</v>
      </c>
      <c r="E54" t="s">
        <v>238</v>
      </c>
      <c r="F54">
        <f t="shared" si="2"/>
        <v>-1</v>
      </c>
      <c r="G54">
        <f t="shared" si="2"/>
        <v>10.451000000000001</v>
      </c>
      <c r="H54">
        <f t="shared" si="2"/>
        <v>-1</v>
      </c>
      <c r="I54">
        <f t="shared" si="2"/>
        <v>-1</v>
      </c>
    </row>
    <row r="55" spans="1:9" x14ac:dyDescent="0.3">
      <c r="A55" s="1">
        <v>54</v>
      </c>
      <c r="B55" s="1" t="s">
        <v>107</v>
      </c>
      <c r="C55" t="s">
        <v>108</v>
      </c>
      <c r="D55" s="1">
        <v>12.13</v>
      </c>
      <c r="E55" t="s">
        <v>238</v>
      </c>
      <c r="F55">
        <f t="shared" si="2"/>
        <v>-1</v>
      </c>
      <c r="G55">
        <f t="shared" si="2"/>
        <v>12.13</v>
      </c>
      <c r="H55">
        <f t="shared" si="2"/>
        <v>-1</v>
      </c>
      <c r="I55">
        <f t="shared" si="2"/>
        <v>-1</v>
      </c>
    </row>
    <row r="56" spans="1:9" x14ac:dyDescent="0.3">
      <c r="A56" s="1">
        <v>55</v>
      </c>
      <c r="B56" s="1" t="s">
        <v>109</v>
      </c>
      <c r="C56" t="s">
        <v>110</v>
      </c>
      <c r="D56" s="1">
        <v>3.8940000000000001</v>
      </c>
      <c r="E56" t="s">
        <v>237</v>
      </c>
      <c r="F56">
        <f t="shared" si="2"/>
        <v>3.8940000000000001</v>
      </c>
      <c r="G56">
        <f t="shared" si="2"/>
        <v>-1</v>
      </c>
      <c r="H56">
        <f t="shared" si="2"/>
        <v>-1</v>
      </c>
      <c r="I56">
        <f t="shared" si="2"/>
        <v>-1</v>
      </c>
    </row>
    <row r="57" spans="1:9" x14ac:dyDescent="0.3">
      <c r="A57" s="1">
        <v>56</v>
      </c>
      <c r="B57" s="1" t="s">
        <v>111</v>
      </c>
      <c r="C57" t="s">
        <v>112</v>
      </c>
      <c r="D57" s="1">
        <v>5.2119999999999997</v>
      </c>
      <c r="E57" t="s">
        <v>237</v>
      </c>
      <c r="F57">
        <f t="shared" si="2"/>
        <v>5.2119999999999997</v>
      </c>
      <c r="G57">
        <f t="shared" si="2"/>
        <v>-1</v>
      </c>
      <c r="H57">
        <f t="shared" si="2"/>
        <v>-1</v>
      </c>
      <c r="I57">
        <f t="shared" si="2"/>
        <v>-1</v>
      </c>
    </row>
    <row r="58" spans="1:9" x14ac:dyDescent="0.3">
      <c r="A58" s="1">
        <v>57</v>
      </c>
      <c r="B58" s="1" t="s">
        <v>113</v>
      </c>
      <c r="C58" t="s">
        <v>114</v>
      </c>
      <c r="D58" s="1">
        <v>5.577</v>
      </c>
      <c r="E58" t="s">
        <v>240</v>
      </c>
      <c r="F58">
        <f t="shared" si="2"/>
        <v>-1</v>
      </c>
      <c r="G58">
        <f t="shared" si="2"/>
        <v>-1</v>
      </c>
      <c r="H58">
        <f t="shared" si="2"/>
        <v>-1</v>
      </c>
      <c r="I58">
        <f t="shared" si="2"/>
        <v>5.577</v>
      </c>
    </row>
    <row r="59" spans="1:9" x14ac:dyDescent="0.3">
      <c r="A59" s="1">
        <v>58</v>
      </c>
      <c r="B59" s="1" t="s">
        <v>115</v>
      </c>
      <c r="C59" t="s">
        <v>116</v>
      </c>
      <c r="D59" s="1">
        <v>5.5389999999999997</v>
      </c>
      <c r="E59" t="s">
        <v>240</v>
      </c>
      <c r="F59">
        <f t="shared" si="2"/>
        <v>-1</v>
      </c>
      <c r="G59">
        <f t="shared" si="2"/>
        <v>-1</v>
      </c>
      <c r="H59">
        <f t="shared" si="2"/>
        <v>-1</v>
      </c>
      <c r="I59">
        <f t="shared" si="2"/>
        <v>5.5389999999999997</v>
      </c>
    </row>
    <row r="60" spans="1:9" x14ac:dyDescent="0.3">
      <c r="A60" s="1">
        <v>59</v>
      </c>
      <c r="B60" s="1" t="s">
        <v>117</v>
      </c>
      <c r="C60" t="s">
        <v>118</v>
      </c>
      <c r="D60" s="1">
        <v>5.4640000000000004</v>
      </c>
      <c r="E60" t="s">
        <v>240</v>
      </c>
      <c r="F60">
        <f t="shared" si="2"/>
        <v>-1</v>
      </c>
      <c r="G60">
        <f t="shared" si="2"/>
        <v>-1</v>
      </c>
      <c r="H60">
        <f t="shared" si="2"/>
        <v>-1</v>
      </c>
      <c r="I60">
        <f t="shared" si="2"/>
        <v>5.4640000000000004</v>
      </c>
    </row>
    <row r="61" spans="1:9" x14ac:dyDescent="0.3">
      <c r="A61" s="1">
        <v>60</v>
      </c>
      <c r="B61" s="1" t="s">
        <v>119</v>
      </c>
      <c r="C61" t="s">
        <v>120</v>
      </c>
      <c r="D61" s="1">
        <v>5.5250000000000004</v>
      </c>
      <c r="E61" t="s">
        <v>240</v>
      </c>
      <c r="F61">
        <f t="shared" si="2"/>
        <v>-1</v>
      </c>
      <c r="G61">
        <f t="shared" si="2"/>
        <v>-1</v>
      </c>
      <c r="H61">
        <f t="shared" si="2"/>
        <v>-1</v>
      </c>
      <c r="I61">
        <f t="shared" si="2"/>
        <v>5.5250000000000004</v>
      </c>
    </row>
    <row r="62" spans="1:9" x14ac:dyDescent="0.3">
      <c r="A62" s="1">
        <v>61</v>
      </c>
      <c r="B62" s="1" t="s">
        <v>121</v>
      </c>
      <c r="C62" t="s">
        <v>122</v>
      </c>
      <c r="D62" s="1">
        <v>5.55</v>
      </c>
      <c r="E62" t="s">
        <v>240</v>
      </c>
      <c r="F62">
        <f t="shared" ref="F62:I81" si="3">IF($E62=F$1,IF($D62="",-1,$D62),-1)</f>
        <v>-1</v>
      </c>
      <c r="G62">
        <f t="shared" si="3"/>
        <v>-1</v>
      </c>
      <c r="H62">
        <f t="shared" si="3"/>
        <v>-1</v>
      </c>
      <c r="I62">
        <f t="shared" si="3"/>
        <v>5.55</v>
      </c>
    </row>
    <row r="63" spans="1:9" x14ac:dyDescent="0.3">
      <c r="A63" s="1">
        <v>62</v>
      </c>
      <c r="B63" s="1" t="s">
        <v>123</v>
      </c>
      <c r="C63" t="s">
        <v>124</v>
      </c>
      <c r="D63" s="1">
        <v>5.6440000000000001</v>
      </c>
      <c r="E63" t="s">
        <v>240</v>
      </c>
      <c r="F63">
        <f t="shared" si="3"/>
        <v>-1</v>
      </c>
      <c r="G63">
        <f t="shared" si="3"/>
        <v>-1</v>
      </c>
      <c r="H63">
        <f t="shared" si="3"/>
        <v>-1</v>
      </c>
      <c r="I63">
        <f t="shared" si="3"/>
        <v>5.6440000000000001</v>
      </c>
    </row>
    <row r="64" spans="1:9" x14ac:dyDescent="0.3">
      <c r="A64" s="1">
        <v>63</v>
      </c>
      <c r="B64" s="1" t="s">
        <v>125</v>
      </c>
      <c r="C64" t="s">
        <v>126</v>
      </c>
      <c r="D64" s="1">
        <v>5.67</v>
      </c>
      <c r="E64" t="s">
        <v>240</v>
      </c>
      <c r="F64">
        <f t="shared" si="3"/>
        <v>-1</v>
      </c>
      <c r="G64">
        <f t="shared" si="3"/>
        <v>-1</v>
      </c>
      <c r="H64">
        <f t="shared" si="3"/>
        <v>-1</v>
      </c>
      <c r="I64">
        <f t="shared" si="3"/>
        <v>5.67</v>
      </c>
    </row>
    <row r="65" spans="1:9" x14ac:dyDescent="0.3">
      <c r="A65" s="1">
        <v>64</v>
      </c>
      <c r="B65" s="1" t="s">
        <v>127</v>
      </c>
      <c r="C65" t="s">
        <v>128</v>
      </c>
      <c r="D65" s="1">
        <v>6.15</v>
      </c>
      <c r="E65" t="s">
        <v>240</v>
      </c>
      <c r="F65">
        <f t="shared" si="3"/>
        <v>-1</v>
      </c>
      <c r="G65">
        <f t="shared" si="3"/>
        <v>-1</v>
      </c>
      <c r="H65">
        <f t="shared" si="3"/>
        <v>-1</v>
      </c>
      <c r="I65">
        <f t="shared" si="3"/>
        <v>6.15</v>
      </c>
    </row>
    <row r="66" spans="1:9" x14ac:dyDescent="0.3">
      <c r="A66" s="1">
        <v>65</v>
      </c>
      <c r="B66" s="1" t="s">
        <v>129</v>
      </c>
      <c r="C66" t="s">
        <v>130</v>
      </c>
      <c r="D66" s="1">
        <v>5.8639999999999999</v>
      </c>
      <c r="E66" t="s">
        <v>240</v>
      </c>
      <c r="F66">
        <f t="shared" si="3"/>
        <v>-1</v>
      </c>
      <c r="G66">
        <f t="shared" si="3"/>
        <v>-1</v>
      </c>
      <c r="H66">
        <f t="shared" si="3"/>
        <v>-1</v>
      </c>
      <c r="I66">
        <f t="shared" si="3"/>
        <v>5.8639999999999999</v>
      </c>
    </row>
    <row r="67" spans="1:9" x14ac:dyDescent="0.3">
      <c r="A67" s="1">
        <v>66</v>
      </c>
      <c r="B67" s="1" t="s">
        <v>131</v>
      </c>
      <c r="C67" t="s">
        <v>132</v>
      </c>
      <c r="D67" s="1">
        <v>5.9390000000000001</v>
      </c>
      <c r="E67" t="s">
        <v>240</v>
      </c>
      <c r="F67">
        <f t="shared" si="3"/>
        <v>-1</v>
      </c>
      <c r="G67">
        <f t="shared" si="3"/>
        <v>-1</v>
      </c>
      <c r="H67">
        <f t="shared" si="3"/>
        <v>-1</v>
      </c>
      <c r="I67">
        <f t="shared" si="3"/>
        <v>5.9390000000000001</v>
      </c>
    </row>
    <row r="68" spans="1:9" x14ac:dyDescent="0.3">
      <c r="A68" s="1">
        <v>67</v>
      </c>
      <c r="B68" s="1" t="s">
        <v>133</v>
      </c>
      <c r="C68" t="s">
        <v>134</v>
      </c>
      <c r="D68" s="1">
        <v>6.0220000000000002</v>
      </c>
      <c r="E68" t="s">
        <v>240</v>
      </c>
      <c r="F68">
        <f t="shared" si="3"/>
        <v>-1</v>
      </c>
      <c r="G68">
        <f t="shared" si="3"/>
        <v>-1</v>
      </c>
      <c r="H68">
        <f t="shared" si="3"/>
        <v>-1</v>
      </c>
      <c r="I68">
        <f t="shared" si="3"/>
        <v>6.0220000000000002</v>
      </c>
    </row>
    <row r="69" spans="1:9" x14ac:dyDescent="0.3">
      <c r="A69" s="1">
        <v>68</v>
      </c>
      <c r="B69" s="1" t="s">
        <v>135</v>
      </c>
      <c r="C69" t="s">
        <v>136</v>
      </c>
      <c r="D69" s="1">
        <v>6.1079999999999997</v>
      </c>
      <c r="E69" t="s">
        <v>240</v>
      </c>
      <c r="F69">
        <f t="shared" si="3"/>
        <v>-1</v>
      </c>
      <c r="G69">
        <f t="shared" si="3"/>
        <v>-1</v>
      </c>
      <c r="H69">
        <f t="shared" si="3"/>
        <v>-1</v>
      </c>
      <c r="I69">
        <f t="shared" si="3"/>
        <v>6.1079999999999997</v>
      </c>
    </row>
    <row r="70" spans="1:9" x14ac:dyDescent="0.3">
      <c r="A70" s="1">
        <v>69</v>
      </c>
      <c r="B70" s="1" t="s">
        <v>137</v>
      </c>
      <c r="C70" t="s">
        <v>138</v>
      </c>
      <c r="D70" s="1">
        <v>6.1840000000000002</v>
      </c>
      <c r="E70" t="s">
        <v>240</v>
      </c>
      <c r="F70">
        <f t="shared" si="3"/>
        <v>-1</v>
      </c>
      <c r="G70">
        <f t="shared" si="3"/>
        <v>-1</v>
      </c>
      <c r="H70">
        <f t="shared" si="3"/>
        <v>-1</v>
      </c>
      <c r="I70">
        <f t="shared" si="3"/>
        <v>6.1840000000000002</v>
      </c>
    </row>
    <row r="71" spans="1:9" x14ac:dyDescent="0.3">
      <c r="A71" s="1">
        <v>70</v>
      </c>
      <c r="B71" s="1" t="s">
        <v>139</v>
      </c>
      <c r="C71" t="s">
        <v>140</v>
      </c>
      <c r="D71" s="1">
        <v>6.2539999999999996</v>
      </c>
      <c r="E71" t="s">
        <v>240</v>
      </c>
      <c r="F71">
        <f t="shared" si="3"/>
        <v>-1</v>
      </c>
      <c r="G71">
        <f t="shared" si="3"/>
        <v>-1</v>
      </c>
      <c r="H71">
        <f t="shared" si="3"/>
        <v>-1</v>
      </c>
      <c r="I71">
        <f t="shared" si="3"/>
        <v>6.2539999999999996</v>
      </c>
    </row>
    <row r="72" spans="1:9" x14ac:dyDescent="0.3">
      <c r="A72" s="1">
        <v>71</v>
      </c>
      <c r="B72" s="1" t="s">
        <v>141</v>
      </c>
      <c r="C72" t="s">
        <v>142</v>
      </c>
      <c r="D72" s="1">
        <v>5.4260000000000002</v>
      </c>
      <c r="E72" t="s">
        <v>239</v>
      </c>
      <c r="F72">
        <f t="shared" si="3"/>
        <v>-1</v>
      </c>
      <c r="G72">
        <f t="shared" si="3"/>
        <v>-1</v>
      </c>
      <c r="H72">
        <f t="shared" si="3"/>
        <v>5.4260000000000002</v>
      </c>
      <c r="I72">
        <f t="shared" si="3"/>
        <v>-1</v>
      </c>
    </row>
    <row r="73" spans="1:9" x14ac:dyDescent="0.3">
      <c r="A73" s="1">
        <v>72</v>
      </c>
      <c r="B73" s="1" t="s">
        <v>143</v>
      </c>
      <c r="C73" t="s">
        <v>144</v>
      </c>
      <c r="D73" s="1">
        <v>6.8250000000000002</v>
      </c>
      <c r="E73" t="s">
        <v>239</v>
      </c>
      <c r="F73">
        <f t="shared" si="3"/>
        <v>-1</v>
      </c>
      <c r="G73">
        <f t="shared" si="3"/>
        <v>-1</v>
      </c>
      <c r="H73">
        <f t="shared" si="3"/>
        <v>6.8250000000000002</v>
      </c>
      <c r="I73">
        <f t="shared" si="3"/>
        <v>-1</v>
      </c>
    </row>
    <row r="74" spans="1:9" x14ac:dyDescent="0.3">
      <c r="A74" s="1">
        <v>73</v>
      </c>
      <c r="B74" s="1" t="s">
        <v>145</v>
      </c>
      <c r="C74" t="s">
        <v>146</v>
      </c>
      <c r="D74" s="1">
        <v>7.89</v>
      </c>
      <c r="E74" t="s">
        <v>239</v>
      </c>
      <c r="F74">
        <f t="shared" si="3"/>
        <v>-1</v>
      </c>
      <c r="G74">
        <f t="shared" si="3"/>
        <v>-1</v>
      </c>
      <c r="H74">
        <f t="shared" si="3"/>
        <v>7.89</v>
      </c>
      <c r="I74">
        <f t="shared" si="3"/>
        <v>-1</v>
      </c>
    </row>
    <row r="75" spans="1:9" x14ac:dyDescent="0.3">
      <c r="A75" s="1">
        <v>74</v>
      </c>
      <c r="B75" s="1" t="s">
        <v>147</v>
      </c>
      <c r="C75" t="s">
        <v>148</v>
      </c>
      <c r="D75" s="1">
        <v>7.98</v>
      </c>
      <c r="E75" t="s">
        <v>239</v>
      </c>
      <c r="F75">
        <f t="shared" si="3"/>
        <v>-1</v>
      </c>
      <c r="G75">
        <f t="shared" si="3"/>
        <v>-1</v>
      </c>
      <c r="H75">
        <f t="shared" si="3"/>
        <v>7.98</v>
      </c>
      <c r="I75">
        <f t="shared" si="3"/>
        <v>-1</v>
      </c>
    </row>
    <row r="76" spans="1:9" x14ac:dyDescent="0.3">
      <c r="A76" s="1">
        <v>75</v>
      </c>
      <c r="B76" s="1" t="s">
        <v>149</v>
      </c>
      <c r="C76" t="s">
        <v>150</v>
      </c>
      <c r="D76" s="1">
        <v>7.88</v>
      </c>
      <c r="E76" t="s">
        <v>239</v>
      </c>
      <c r="F76">
        <f t="shared" si="3"/>
        <v>-1</v>
      </c>
      <c r="G76">
        <f t="shared" si="3"/>
        <v>-1</v>
      </c>
      <c r="H76">
        <f t="shared" si="3"/>
        <v>7.88</v>
      </c>
      <c r="I76">
        <f t="shared" si="3"/>
        <v>-1</v>
      </c>
    </row>
    <row r="77" spans="1:9" x14ac:dyDescent="0.3">
      <c r="A77" s="1">
        <v>76</v>
      </c>
      <c r="B77" s="1" t="s">
        <v>151</v>
      </c>
      <c r="C77" t="s">
        <v>152</v>
      </c>
      <c r="D77" s="1">
        <v>8.6999999999999993</v>
      </c>
      <c r="E77" t="s">
        <v>239</v>
      </c>
      <c r="F77">
        <f t="shared" si="3"/>
        <v>-1</v>
      </c>
      <c r="G77">
        <f t="shared" si="3"/>
        <v>-1</v>
      </c>
      <c r="H77">
        <f t="shared" si="3"/>
        <v>8.6999999999999993</v>
      </c>
      <c r="I77">
        <f t="shared" si="3"/>
        <v>-1</v>
      </c>
    </row>
    <row r="78" spans="1:9" x14ac:dyDescent="0.3">
      <c r="A78" s="1">
        <v>77</v>
      </c>
      <c r="B78" s="1" t="s">
        <v>153</v>
      </c>
      <c r="C78" t="s">
        <v>154</v>
      </c>
      <c r="D78" s="1">
        <v>9.1</v>
      </c>
      <c r="E78" t="s">
        <v>239</v>
      </c>
      <c r="F78">
        <f t="shared" si="3"/>
        <v>-1</v>
      </c>
      <c r="G78">
        <f t="shared" si="3"/>
        <v>-1</v>
      </c>
      <c r="H78">
        <f t="shared" si="3"/>
        <v>9.1</v>
      </c>
      <c r="I78">
        <f t="shared" si="3"/>
        <v>-1</v>
      </c>
    </row>
    <row r="79" spans="1:9" x14ac:dyDescent="0.3">
      <c r="A79" s="1">
        <v>78</v>
      </c>
      <c r="B79" s="1" t="s">
        <v>155</v>
      </c>
      <c r="C79" t="s">
        <v>156</v>
      </c>
      <c r="D79" s="1">
        <v>9</v>
      </c>
      <c r="E79" t="s">
        <v>239</v>
      </c>
      <c r="F79">
        <f t="shared" si="3"/>
        <v>-1</v>
      </c>
      <c r="G79">
        <f t="shared" si="3"/>
        <v>-1</v>
      </c>
      <c r="H79">
        <f t="shared" si="3"/>
        <v>9</v>
      </c>
      <c r="I79">
        <f t="shared" si="3"/>
        <v>-1</v>
      </c>
    </row>
    <row r="80" spans="1:9" x14ac:dyDescent="0.3">
      <c r="A80" s="1">
        <v>79</v>
      </c>
      <c r="B80" s="1" t="s">
        <v>157</v>
      </c>
      <c r="C80" t="s">
        <v>158</v>
      </c>
      <c r="D80" s="1">
        <v>9.2260000000000009</v>
      </c>
      <c r="E80" t="s">
        <v>239</v>
      </c>
      <c r="F80">
        <f t="shared" si="3"/>
        <v>-1</v>
      </c>
      <c r="G80">
        <f t="shared" si="3"/>
        <v>-1</v>
      </c>
      <c r="H80">
        <f t="shared" si="3"/>
        <v>9.2260000000000009</v>
      </c>
      <c r="I80">
        <f t="shared" si="3"/>
        <v>-1</v>
      </c>
    </row>
    <row r="81" spans="1:9" x14ac:dyDescent="0.3">
      <c r="A81" s="1">
        <v>80</v>
      </c>
      <c r="B81" s="1" t="s">
        <v>159</v>
      </c>
      <c r="C81" t="s">
        <v>160</v>
      </c>
      <c r="D81" s="1">
        <v>10.438000000000001</v>
      </c>
      <c r="E81" t="s">
        <v>239</v>
      </c>
      <c r="F81">
        <f t="shared" si="3"/>
        <v>-1</v>
      </c>
      <c r="G81">
        <f t="shared" si="3"/>
        <v>-1</v>
      </c>
      <c r="H81">
        <f t="shared" si="3"/>
        <v>10.438000000000001</v>
      </c>
      <c r="I81">
        <f t="shared" si="3"/>
        <v>-1</v>
      </c>
    </row>
    <row r="82" spans="1:9" x14ac:dyDescent="0.3">
      <c r="A82" s="1">
        <v>81</v>
      </c>
      <c r="B82" s="1" t="s">
        <v>161</v>
      </c>
      <c r="C82" t="s">
        <v>162</v>
      </c>
      <c r="D82" s="1">
        <v>6.1079999999999997</v>
      </c>
      <c r="E82" t="s">
        <v>238</v>
      </c>
      <c r="F82">
        <f t="shared" ref="F82:I101" si="4">IF($E82=F$1,IF($D82="",-1,$D82),-1)</f>
        <v>-1</v>
      </c>
      <c r="G82">
        <f t="shared" si="4"/>
        <v>6.1079999999999997</v>
      </c>
      <c r="H82">
        <f t="shared" si="4"/>
        <v>-1</v>
      </c>
      <c r="I82">
        <f t="shared" si="4"/>
        <v>-1</v>
      </c>
    </row>
    <row r="83" spans="1:9" x14ac:dyDescent="0.3">
      <c r="A83" s="1">
        <v>82</v>
      </c>
      <c r="B83" s="1" t="s">
        <v>163</v>
      </c>
      <c r="C83" t="s">
        <v>164</v>
      </c>
      <c r="D83" s="1">
        <v>7.4169999999999998</v>
      </c>
      <c r="E83" t="s">
        <v>238</v>
      </c>
      <c r="F83">
        <f t="shared" si="4"/>
        <v>-1</v>
      </c>
      <c r="G83">
        <f t="shared" si="4"/>
        <v>7.4169999999999998</v>
      </c>
      <c r="H83">
        <f t="shared" si="4"/>
        <v>-1</v>
      </c>
      <c r="I83">
        <f t="shared" si="4"/>
        <v>-1</v>
      </c>
    </row>
    <row r="84" spans="1:9" x14ac:dyDescent="0.3">
      <c r="A84" s="1">
        <v>83</v>
      </c>
      <c r="B84" s="1" t="s">
        <v>165</v>
      </c>
      <c r="C84" t="s">
        <v>166</v>
      </c>
      <c r="D84" s="1">
        <v>7.2889999999999997</v>
      </c>
      <c r="E84" t="s">
        <v>238</v>
      </c>
      <c r="F84">
        <f t="shared" si="4"/>
        <v>-1</v>
      </c>
      <c r="G84">
        <f t="shared" si="4"/>
        <v>7.2889999999999997</v>
      </c>
      <c r="H84">
        <f t="shared" si="4"/>
        <v>-1</v>
      </c>
      <c r="I84">
        <f t="shared" si="4"/>
        <v>-1</v>
      </c>
    </row>
    <row r="85" spans="1:9" x14ac:dyDescent="0.3">
      <c r="A85" s="1">
        <v>84</v>
      </c>
      <c r="B85" s="1" t="s">
        <v>167</v>
      </c>
      <c r="C85" t="s">
        <v>168</v>
      </c>
      <c r="D85" s="1">
        <v>8.4169999999999998</v>
      </c>
      <c r="E85" t="s">
        <v>238</v>
      </c>
      <c r="F85">
        <f t="shared" si="4"/>
        <v>-1</v>
      </c>
      <c r="G85">
        <f t="shared" si="4"/>
        <v>8.4169999999999998</v>
      </c>
      <c r="H85">
        <f t="shared" si="4"/>
        <v>-1</v>
      </c>
      <c r="I85">
        <f t="shared" si="4"/>
        <v>-1</v>
      </c>
    </row>
    <row r="86" spans="1:9" x14ac:dyDescent="0.3">
      <c r="A86" s="1">
        <v>85</v>
      </c>
      <c r="B86" s="1" t="s">
        <v>169</v>
      </c>
      <c r="C86" t="s">
        <v>170</v>
      </c>
      <c r="D86" s="1">
        <v>9.5</v>
      </c>
      <c r="E86" t="s">
        <v>238</v>
      </c>
      <c r="F86">
        <f t="shared" si="4"/>
        <v>-1</v>
      </c>
      <c r="G86">
        <f t="shared" si="4"/>
        <v>9.5</v>
      </c>
      <c r="H86">
        <f t="shared" si="4"/>
        <v>-1</v>
      </c>
      <c r="I86">
        <f t="shared" si="4"/>
        <v>-1</v>
      </c>
    </row>
    <row r="87" spans="1:9" x14ac:dyDescent="0.3">
      <c r="A87" s="1">
        <v>86</v>
      </c>
      <c r="B87" s="1" t="s">
        <v>171</v>
      </c>
      <c r="C87" t="s">
        <v>172</v>
      </c>
      <c r="D87" s="1">
        <v>10.744999999999999</v>
      </c>
      <c r="E87" t="s">
        <v>238</v>
      </c>
      <c r="F87">
        <f t="shared" si="4"/>
        <v>-1</v>
      </c>
      <c r="G87">
        <f t="shared" si="4"/>
        <v>10.744999999999999</v>
      </c>
      <c r="H87">
        <f t="shared" si="4"/>
        <v>-1</v>
      </c>
      <c r="I87">
        <f t="shared" si="4"/>
        <v>-1</v>
      </c>
    </row>
    <row r="88" spans="1:9" x14ac:dyDescent="0.3">
      <c r="A88" s="1">
        <v>87</v>
      </c>
      <c r="B88" s="1" t="s">
        <v>173</v>
      </c>
      <c r="C88" t="s">
        <v>174</v>
      </c>
      <c r="D88" s="1">
        <v>3.9</v>
      </c>
      <c r="E88" t="s">
        <v>237</v>
      </c>
      <c r="F88">
        <f t="shared" si="4"/>
        <v>3.9</v>
      </c>
      <c r="G88">
        <f t="shared" si="4"/>
        <v>-1</v>
      </c>
      <c r="H88">
        <f t="shared" si="4"/>
        <v>-1</v>
      </c>
      <c r="I88">
        <f t="shared" si="4"/>
        <v>-1</v>
      </c>
    </row>
    <row r="89" spans="1:9" x14ac:dyDescent="0.3">
      <c r="A89" s="1">
        <v>88</v>
      </c>
      <c r="B89" s="1" t="s">
        <v>175</v>
      </c>
      <c r="C89" t="s">
        <v>176</v>
      </c>
      <c r="D89" s="1">
        <v>5.2789999999999999</v>
      </c>
      <c r="E89" t="s">
        <v>237</v>
      </c>
      <c r="F89">
        <f t="shared" si="4"/>
        <v>5.2789999999999999</v>
      </c>
      <c r="G89">
        <f t="shared" si="4"/>
        <v>-1</v>
      </c>
      <c r="H89">
        <f t="shared" si="4"/>
        <v>-1</v>
      </c>
      <c r="I89">
        <f t="shared" si="4"/>
        <v>-1</v>
      </c>
    </row>
    <row r="90" spans="1:9" x14ac:dyDescent="0.3">
      <c r="A90" s="1">
        <v>89</v>
      </c>
      <c r="B90" s="1" t="s">
        <v>177</v>
      </c>
      <c r="C90" t="s">
        <v>178</v>
      </c>
      <c r="D90" s="1">
        <v>5.17</v>
      </c>
      <c r="E90" t="s">
        <v>240</v>
      </c>
      <c r="F90">
        <f t="shared" si="4"/>
        <v>-1</v>
      </c>
      <c r="G90">
        <f t="shared" si="4"/>
        <v>-1</v>
      </c>
      <c r="H90">
        <f t="shared" si="4"/>
        <v>-1</v>
      </c>
      <c r="I90">
        <f t="shared" si="4"/>
        <v>5.17</v>
      </c>
    </row>
    <row r="91" spans="1:9" x14ac:dyDescent="0.3">
      <c r="A91" s="1">
        <v>90</v>
      </c>
      <c r="B91" s="1" t="s">
        <v>179</v>
      </c>
      <c r="C91" t="s">
        <v>180</v>
      </c>
      <c r="D91" s="1">
        <v>6.08</v>
      </c>
      <c r="E91" t="s">
        <v>240</v>
      </c>
      <c r="F91">
        <f t="shared" si="4"/>
        <v>-1</v>
      </c>
      <c r="G91">
        <f t="shared" si="4"/>
        <v>-1</v>
      </c>
      <c r="H91">
        <f t="shared" si="4"/>
        <v>-1</v>
      </c>
      <c r="I91">
        <f t="shared" si="4"/>
        <v>6.08</v>
      </c>
    </row>
    <row r="92" spans="1:9" x14ac:dyDescent="0.3">
      <c r="A92" s="1">
        <v>91</v>
      </c>
      <c r="B92" s="1" t="s">
        <v>181</v>
      </c>
      <c r="C92" t="s">
        <v>182</v>
      </c>
      <c r="D92" s="1">
        <v>5.89</v>
      </c>
      <c r="E92" t="s">
        <v>240</v>
      </c>
      <c r="F92">
        <f t="shared" si="4"/>
        <v>-1</v>
      </c>
      <c r="G92">
        <f t="shared" si="4"/>
        <v>-1</v>
      </c>
      <c r="H92">
        <f t="shared" si="4"/>
        <v>-1</v>
      </c>
      <c r="I92">
        <f t="shared" si="4"/>
        <v>5.89</v>
      </c>
    </row>
    <row r="93" spans="1:9" x14ac:dyDescent="0.3">
      <c r="A93" s="1">
        <v>92</v>
      </c>
      <c r="B93" s="1" t="s">
        <v>183</v>
      </c>
      <c r="C93" t="s">
        <v>184</v>
      </c>
      <c r="D93" s="1">
        <v>6.194</v>
      </c>
      <c r="E93" t="s">
        <v>240</v>
      </c>
      <c r="F93">
        <f t="shared" si="4"/>
        <v>-1</v>
      </c>
      <c r="G93">
        <f t="shared" si="4"/>
        <v>-1</v>
      </c>
      <c r="H93">
        <f t="shared" si="4"/>
        <v>-1</v>
      </c>
      <c r="I93">
        <f t="shared" si="4"/>
        <v>6.194</v>
      </c>
    </row>
    <row r="94" spans="1:9" x14ac:dyDescent="0.3">
      <c r="A94" s="1">
        <v>93</v>
      </c>
      <c r="B94" s="1" t="s">
        <v>185</v>
      </c>
      <c r="C94" t="s">
        <v>186</v>
      </c>
      <c r="D94" s="1">
        <v>6.266</v>
      </c>
      <c r="E94" t="s">
        <v>240</v>
      </c>
      <c r="F94">
        <f t="shared" si="4"/>
        <v>-1</v>
      </c>
      <c r="G94">
        <f t="shared" si="4"/>
        <v>-1</v>
      </c>
      <c r="H94">
        <f t="shared" si="4"/>
        <v>-1</v>
      </c>
      <c r="I94">
        <f t="shared" si="4"/>
        <v>6.266</v>
      </c>
    </row>
    <row r="95" spans="1:9" x14ac:dyDescent="0.3">
      <c r="A95" s="1">
        <v>94</v>
      </c>
      <c r="B95" s="1" t="s">
        <v>187</v>
      </c>
      <c r="C95" t="s">
        <v>188</v>
      </c>
      <c r="D95" s="1">
        <v>6.06</v>
      </c>
      <c r="E95" t="s">
        <v>240</v>
      </c>
      <c r="F95">
        <f t="shared" si="4"/>
        <v>-1</v>
      </c>
      <c r="G95">
        <f t="shared" si="4"/>
        <v>-1</v>
      </c>
      <c r="H95">
        <f t="shared" si="4"/>
        <v>-1</v>
      </c>
      <c r="I95">
        <f t="shared" si="4"/>
        <v>6.06</v>
      </c>
    </row>
    <row r="96" spans="1:9" x14ac:dyDescent="0.3">
      <c r="A96" s="1">
        <v>95</v>
      </c>
      <c r="B96" s="1" t="s">
        <v>189</v>
      </c>
      <c r="C96" t="s">
        <v>190</v>
      </c>
      <c r="D96" s="1">
        <v>5.9930000000000003</v>
      </c>
      <c r="E96" t="s">
        <v>240</v>
      </c>
      <c r="F96">
        <f t="shared" si="4"/>
        <v>-1</v>
      </c>
      <c r="G96">
        <f t="shared" si="4"/>
        <v>-1</v>
      </c>
      <c r="H96">
        <f t="shared" si="4"/>
        <v>-1</v>
      </c>
      <c r="I96">
        <f t="shared" si="4"/>
        <v>5.9930000000000003</v>
      </c>
    </row>
    <row r="97" spans="1:9" x14ac:dyDescent="0.3">
      <c r="A97" s="1">
        <v>96</v>
      </c>
      <c r="B97" s="1" t="s">
        <v>191</v>
      </c>
      <c r="C97" t="s">
        <v>192</v>
      </c>
      <c r="D97" s="1">
        <v>6.02</v>
      </c>
      <c r="E97" t="s">
        <v>240</v>
      </c>
      <c r="F97">
        <f t="shared" si="4"/>
        <v>-1</v>
      </c>
      <c r="G97">
        <f t="shared" si="4"/>
        <v>-1</v>
      </c>
      <c r="H97">
        <f t="shared" si="4"/>
        <v>-1</v>
      </c>
      <c r="I97">
        <f t="shared" si="4"/>
        <v>6.02</v>
      </c>
    </row>
    <row r="98" spans="1:9" x14ac:dyDescent="0.3">
      <c r="A98" s="1">
        <v>97</v>
      </c>
      <c r="B98" s="1" t="s">
        <v>193</v>
      </c>
      <c r="C98" t="s">
        <v>194</v>
      </c>
      <c r="D98" s="1">
        <v>6.23</v>
      </c>
      <c r="E98" t="s">
        <v>240</v>
      </c>
      <c r="F98">
        <f t="shared" si="4"/>
        <v>-1</v>
      </c>
      <c r="G98">
        <f t="shared" si="4"/>
        <v>-1</v>
      </c>
      <c r="H98">
        <f t="shared" si="4"/>
        <v>-1</v>
      </c>
      <c r="I98">
        <f t="shared" si="4"/>
        <v>6.23</v>
      </c>
    </row>
    <row r="99" spans="1:9" x14ac:dyDescent="0.3">
      <c r="A99" s="1">
        <v>98</v>
      </c>
      <c r="B99" s="1" t="s">
        <v>195</v>
      </c>
      <c r="C99" t="s">
        <v>196</v>
      </c>
      <c r="D99" s="1">
        <v>6.3</v>
      </c>
      <c r="E99" t="s">
        <v>240</v>
      </c>
      <c r="F99">
        <f t="shared" si="4"/>
        <v>-1</v>
      </c>
      <c r="G99">
        <f t="shared" si="4"/>
        <v>-1</v>
      </c>
      <c r="H99">
        <f t="shared" si="4"/>
        <v>-1</v>
      </c>
      <c r="I99">
        <f t="shared" si="4"/>
        <v>6.3</v>
      </c>
    </row>
    <row r="100" spans="1:9" x14ac:dyDescent="0.3">
      <c r="A100" s="1">
        <v>99</v>
      </c>
      <c r="B100" s="1" t="s">
        <v>197</v>
      </c>
      <c r="C100" t="s">
        <v>198</v>
      </c>
      <c r="D100" s="1">
        <v>6.42</v>
      </c>
      <c r="E100" t="s">
        <v>240</v>
      </c>
      <c r="F100">
        <f t="shared" si="4"/>
        <v>-1</v>
      </c>
      <c r="G100">
        <f t="shared" si="4"/>
        <v>-1</v>
      </c>
      <c r="H100">
        <f t="shared" si="4"/>
        <v>-1</v>
      </c>
      <c r="I100">
        <f t="shared" si="4"/>
        <v>6.42</v>
      </c>
    </row>
    <row r="101" spans="1:9" x14ac:dyDescent="0.3">
      <c r="A101" s="1">
        <v>100</v>
      </c>
      <c r="B101" s="1" t="s">
        <v>199</v>
      </c>
      <c r="C101" t="s">
        <v>200</v>
      </c>
      <c r="D101" s="1">
        <v>6.5</v>
      </c>
      <c r="E101" t="s">
        <v>240</v>
      </c>
      <c r="F101">
        <f t="shared" si="4"/>
        <v>-1</v>
      </c>
      <c r="G101">
        <f t="shared" si="4"/>
        <v>-1</v>
      </c>
      <c r="H101">
        <f t="shared" si="4"/>
        <v>-1</v>
      </c>
      <c r="I101">
        <f t="shared" si="4"/>
        <v>6.5</v>
      </c>
    </row>
    <row r="102" spans="1:9" x14ac:dyDescent="0.3">
      <c r="A102" s="1">
        <v>101</v>
      </c>
      <c r="B102" s="1" t="s">
        <v>201</v>
      </c>
      <c r="C102" t="s">
        <v>202</v>
      </c>
      <c r="D102" s="1">
        <v>6.58</v>
      </c>
      <c r="E102" t="s">
        <v>240</v>
      </c>
      <c r="F102">
        <f t="shared" ref="F102:I119" si="5">IF($E102=F$1,IF($D102="",-1,$D102),-1)</f>
        <v>-1</v>
      </c>
      <c r="G102">
        <f t="shared" si="5"/>
        <v>-1</v>
      </c>
      <c r="H102">
        <f t="shared" si="5"/>
        <v>-1</v>
      </c>
      <c r="I102">
        <f t="shared" si="5"/>
        <v>6.58</v>
      </c>
    </row>
    <row r="103" spans="1:9" x14ac:dyDescent="0.3">
      <c r="A103" s="1">
        <v>102</v>
      </c>
      <c r="B103" s="1" t="s">
        <v>203</v>
      </c>
      <c r="C103" t="s">
        <v>204</v>
      </c>
      <c r="D103" s="1">
        <v>6.65</v>
      </c>
      <c r="E103" t="s">
        <v>240</v>
      </c>
      <c r="F103">
        <f t="shared" si="5"/>
        <v>-1</v>
      </c>
      <c r="G103">
        <f t="shared" si="5"/>
        <v>-1</v>
      </c>
      <c r="H103">
        <f t="shared" si="5"/>
        <v>-1</v>
      </c>
      <c r="I103">
        <f t="shared" si="5"/>
        <v>6.65</v>
      </c>
    </row>
    <row r="104" spans="1:9" x14ac:dyDescent="0.3">
      <c r="A104" s="1">
        <v>103</v>
      </c>
      <c r="B104" s="1" t="s">
        <v>205</v>
      </c>
      <c r="C104" t="s">
        <v>206</v>
      </c>
      <c r="E104" t="s">
        <v>239</v>
      </c>
      <c r="F104">
        <f t="shared" si="5"/>
        <v>-1</v>
      </c>
      <c r="G104">
        <f t="shared" si="5"/>
        <v>-1</v>
      </c>
      <c r="H104">
        <f t="shared" si="5"/>
        <v>-1</v>
      </c>
      <c r="I104">
        <f t="shared" si="5"/>
        <v>-1</v>
      </c>
    </row>
    <row r="105" spans="1:9" x14ac:dyDescent="0.3">
      <c r="A105" s="1">
        <v>104</v>
      </c>
      <c r="B105" s="1" t="s">
        <v>207</v>
      </c>
      <c r="C105" t="s">
        <v>208</v>
      </c>
      <c r="E105" t="s">
        <v>239</v>
      </c>
      <c r="F105">
        <f t="shared" si="5"/>
        <v>-1</v>
      </c>
      <c r="G105">
        <f t="shared" si="5"/>
        <v>-1</v>
      </c>
      <c r="H105">
        <f t="shared" si="5"/>
        <v>-1</v>
      </c>
      <c r="I105">
        <f t="shared" si="5"/>
        <v>-1</v>
      </c>
    </row>
    <row r="106" spans="1:9" x14ac:dyDescent="0.3">
      <c r="A106" s="1">
        <v>105</v>
      </c>
      <c r="B106" s="1" t="s">
        <v>209</v>
      </c>
      <c r="C106" t="s">
        <v>210</v>
      </c>
      <c r="E106" t="s">
        <v>239</v>
      </c>
      <c r="F106">
        <f t="shared" si="5"/>
        <v>-1</v>
      </c>
      <c r="G106">
        <f t="shared" si="5"/>
        <v>-1</v>
      </c>
      <c r="H106">
        <f t="shared" si="5"/>
        <v>-1</v>
      </c>
      <c r="I106">
        <f t="shared" si="5"/>
        <v>-1</v>
      </c>
    </row>
    <row r="107" spans="1:9" x14ac:dyDescent="0.3">
      <c r="A107" s="1">
        <v>106</v>
      </c>
      <c r="B107" s="1" t="s">
        <v>211</v>
      </c>
      <c r="C107" t="s">
        <v>212</v>
      </c>
      <c r="E107" t="s">
        <v>239</v>
      </c>
      <c r="F107">
        <f t="shared" si="5"/>
        <v>-1</v>
      </c>
      <c r="G107">
        <f t="shared" si="5"/>
        <v>-1</v>
      </c>
      <c r="H107">
        <f t="shared" si="5"/>
        <v>-1</v>
      </c>
      <c r="I107">
        <f t="shared" si="5"/>
        <v>-1</v>
      </c>
    </row>
    <row r="108" spans="1:9" x14ac:dyDescent="0.3">
      <c r="A108" s="1">
        <v>107</v>
      </c>
      <c r="B108" s="1" t="s">
        <v>213</v>
      </c>
      <c r="C108" t="s">
        <v>214</v>
      </c>
      <c r="E108" t="s">
        <v>239</v>
      </c>
      <c r="F108">
        <f t="shared" si="5"/>
        <v>-1</v>
      </c>
      <c r="G108">
        <f t="shared" si="5"/>
        <v>-1</v>
      </c>
      <c r="H108">
        <f t="shared" si="5"/>
        <v>-1</v>
      </c>
      <c r="I108">
        <f t="shared" si="5"/>
        <v>-1</v>
      </c>
    </row>
    <row r="109" spans="1:9" x14ac:dyDescent="0.3">
      <c r="A109" s="1">
        <v>108</v>
      </c>
      <c r="B109" s="1" t="s">
        <v>215</v>
      </c>
      <c r="C109" t="s">
        <v>216</v>
      </c>
      <c r="E109" t="s">
        <v>239</v>
      </c>
      <c r="F109">
        <f t="shared" si="5"/>
        <v>-1</v>
      </c>
      <c r="G109">
        <f t="shared" si="5"/>
        <v>-1</v>
      </c>
      <c r="H109">
        <f t="shared" si="5"/>
        <v>-1</v>
      </c>
      <c r="I109">
        <f t="shared" si="5"/>
        <v>-1</v>
      </c>
    </row>
    <row r="110" spans="1:9" x14ac:dyDescent="0.3">
      <c r="A110" s="1">
        <v>109</v>
      </c>
      <c r="B110" s="1" t="s">
        <v>217</v>
      </c>
      <c r="C110" t="s">
        <v>218</v>
      </c>
      <c r="E110" t="s">
        <v>239</v>
      </c>
      <c r="F110">
        <f t="shared" si="5"/>
        <v>-1</v>
      </c>
      <c r="G110">
        <f t="shared" si="5"/>
        <v>-1</v>
      </c>
      <c r="H110">
        <f t="shared" si="5"/>
        <v>-1</v>
      </c>
      <c r="I110">
        <f t="shared" si="5"/>
        <v>-1</v>
      </c>
    </row>
    <row r="111" spans="1:9" x14ac:dyDescent="0.3">
      <c r="A111" s="1">
        <v>110</v>
      </c>
      <c r="B111" s="1" t="s">
        <v>219</v>
      </c>
      <c r="C111" t="s">
        <v>220</v>
      </c>
      <c r="E111" t="s">
        <v>239</v>
      </c>
      <c r="F111">
        <f t="shared" si="5"/>
        <v>-1</v>
      </c>
      <c r="G111">
        <f t="shared" si="5"/>
        <v>-1</v>
      </c>
      <c r="H111">
        <f t="shared" si="5"/>
        <v>-1</v>
      </c>
      <c r="I111">
        <f t="shared" si="5"/>
        <v>-1</v>
      </c>
    </row>
    <row r="112" spans="1:9" x14ac:dyDescent="0.3">
      <c r="A112" s="1">
        <v>111</v>
      </c>
      <c r="B112" s="1" t="s">
        <v>221</v>
      </c>
      <c r="C112" t="s">
        <v>222</v>
      </c>
      <c r="E112" t="s">
        <v>239</v>
      </c>
      <c r="F112">
        <f t="shared" si="5"/>
        <v>-1</v>
      </c>
      <c r="G112">
        <f t="shared" si="5"/>
        <v>-1</v>
      </c>
      <c r="H112">
        <f t="shared" si="5"/>
        <v>-1</v>
      </c>
      <c r="I112">
        <f t="shared" si="5"/>
        <v>-1</v>
      </c>
    </row>
    <row r="113" spans="1:9" x14ac:dyDescent="0.3">
      <c r="A113" s="1">
        <v>112</v>
      </c>
      <c r="B113" s="1" t="s">
        <v>223</v>
      </c>
      <c r="C113" t="s">
        <v>224</v>
      </c>
      <c r="E113" t="s">
        <v>239</v>
      </c>
      <c r="F113">
        <f t="shared" si="5"/>
        <v>-1</v>
      </c>
      <c r="G113">
        <f t="shared" si="5"/>
        <v>-1</v>
      </c>
      <c r="H113">
        <f t="shared" si="5"/>
        <v>-1</v>
      </c>
      <c r="I113">
        <f t="shared" si="5"/>
        <v>-1</v>
      </c>
    </row>
    <row r="114" spans="1:9" x14ac:dyDescent="0.3">
      <c r="A114" s="1">
        <v>113</v>
      </c>
      <c r="B114" s="1" t="s">
        <v>225</v>
      </c>
      <c r="C114" t="s">
        <v>226</v>
      </c>
      <c r="E114" t="s">
        <v>238</v>
      </c>
      <c r="F114">
        <f t="shared" si="5"/>
        <v>-1</v>
      </c>
      <c r="G114">
        <f t="shared" si="5"/>
        <v>-1</v>
      </c>
      <c r="H114">
        <f t="shared" si="5"/>
        <v>-1</v>
      </c>
      <c r="I114">
        <f t="shared" si="5"/>
        <v>-1</v>
      </c>
    </row>
    <row r="115" spans="1:9" x14ac:dyDescent="0.3">
      <c r="A115" s="1">
        <v>114</v>
      </c>
      <c r="B115" s="1" t="s">
        <v>227</v>
      </c>
      <c r="C115" t="s">
        <v>228</v>
      </c>
      <c r="E115" t="s">
        <v>238</v>
      </c>
      <c r="F115">
        <f t="shared" si="5"/>
        <v>-1</v>
      </c>
      <c r="G115">
        <f t="shared" si="5"/>
        <v>-1</v>
      </c>
      <c r="H115">
        <f t="shared" si="5"/>
        <v>-1</v>
      </c>
      <c r="I115">
        <f t="shared" si="5"/>
        <v>-1</v>
      </c>
    </row>
    <row r="116" spans="1:9" x14ac:dyDescent="0.3">
      <c r="A116" s="1">
        <v>115</v>
      </c>
      <c r="B116" s="1" t="s">
        <v>229</v>
      </c>
      <c r="C116" t="s">
        <v>230</v>
      </c>
      <c r="E116" t="s">
        <v>238</v>
      </c>
      <c r="F116">
        <f t="shared" si="5"/>
        <v>-1</v>
      </c>
      <c r="G116">
        <f t="shared" si="5"/>
        <v>-1</v>
      </c>
      <c r="H116">
        <f t="shared" si="5"/>
        <v>-1</v>
      </c>
      <c r="I116">
        <f t="shared" si="5"/>
        <v>-1</v>
      </c>
    </row>
    <row r="117" spans="1:9" x14ac:dyDescent="0.3">
      <c r="A117" s="1">
        <v>116</v>
      </c>
      <c r="B117" s="1" t="s">
        <v>231</v>
      </c>
      <c r="C117" t="s">
        <v>232</v>
      </c>
      <c r="E117" t="s">
        <v>238</v>
      </c>
      <c r="F117">
        <f t="shared" si="5"/>
        <v>-1</v>
      </c>
      <c r="G117">
        <f t="shared" si="5"/>
        <v>-1</v>
      </c>
      <c r="H117">
        <f t="shared" si="5"/>
        <v>-1</v>
      </c>
      <c r="I117">
        <f t="shared" si="5"/>
        <v>-1</v>
      </c>
    </row>
    <row r="118" spans="1:9" x14ac:dyDescent="0.3">
      <c r="A118" s="1">
        <v>117</v>
      </c>
      <c r="B118" s="1" t="s">
        <v>233</v>
      </c>
      <c r="C118" t="s">
        <v>234</v>
      </c>
      <c r="E118" t="s">
        <v>238</v>
      </c>
      <c r="F118">
        <f t="shared" si="5"/>
        <v>-1</v>
      </c>
      <c r="G118">
        <f t="shared" si="5"/>
        <v>-1</v>
      </c>
      <c r="H118">
        <f t="shared" si="5"/>
        <v>-1</v>
      </c>
      <c r="I118">
        <f t="shared" si="5"/>
        <v>-1</v>
      </c>
    </row>
    <row r="119" spans="1:9" x14ac:dyDescent="0.3">
      <c r="A119" s="1">
        <v>118</v>
      </c>
      <c r="B119" s="1" t="s">
        <v>235</v>
      </c>
      <c r="C119" t="s">
        <v>236</v>
      </c>
      <c r="E119" t="s">
        <v>238</v>
      </c>
      <c r="F119">
        <f t="shared" si="5"/>
        <v>-1</v>
      </c>
      <c r="G119">
        <f t="shared" si="5"/>
        <v>-1</v>
      </c>
      <c r="H119">
        <f t="shared" si="5"/>
        <v>-1</v>
      </c>
      <c r="I119">
        <f t="shared" si="5"/>
        <v>-1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elektronegativitás</vt:lpstr>
      <vt:lpstr>elektronaffinitás</vt:lpstr>
      <vt:lpstr>első ionizációs 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Őri Bálint</dc:creator>
  <cp:lastModifiedBy>Őri Bálint</cp:lastModifiedBy>
  <dcterms:created xsi:type="dcterms:W3CDTF">2025-12-06T08:30:22Z</dcterms:created>
  <dcterms:modified xsi:type="dcterms:W3CDTF">2026-01-13T14:01:53Z</dcterms:modified>
</cp:coreProperties>
</file>